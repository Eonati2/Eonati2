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Tracker" sheetId="1" state="visible" r:id="rId1"/>
    <sheet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0E5257"/>
      <sz val="18"/>
    </font>
    <font>
      <name val="Calibri"/>
      <i val="1"/>
      <color rgb="FF6E7E7C"/>
      <sz val="9"/>
    </font>
    <font>
      <name val="Calibri"/>
      <b val="1"/>
      <color rgb="FFFFFFFF"/>
      <sz val="10"/>
    </font>
    <font>
      <name val="Calibri"/>
      <color rgb="FF0F1516"/>
      <sz val="10"/>
    </font>
    <font>
      <b val="1"/>
      <sz val="10"/>
    </font>
    <font>
      <name val="Calibri"/>
      <b val="1"/>
      <color rgb="FF0F1516"/>
      <sz val="11"/>
    </font>
  </fonts>
  <fills count="4">
    <fill>
      <patternFill/>
    </fill>
    <fill>
      <patternFill patternType="gray125"/>
    </fill>
    <fill>
      <patternFill patternType="solid">
        <fgColor rgb="FF0E5257"/>
      </patternFill>
    </fill>
    <fill>
      <patternFill patternType="solid">
        <fgColor rgb="FFDCEAEA"/>
      </patternFill>
    </fill>
  </fills>
  <borders count="2">
    <border>
      <left/>
      <right/>
      <top/>
      <bottom/>
      <diagonal/>
    </border>
    <border>
      <left style="thin">
        <color rgb="FFD6DEDC"/>
      </left>
      <right style="thin">
        <color rgb="FFD6DEDC"/>
      </right>
      <top style="thin">
        <color rgb="FFD6DEDC"/>
      </top>
      <bottom style="thin">
        <color rgb="FFD6DE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E2EFE7"/>
        </patternFill>
      </fill>
    </dxf>
    <dxf>
      <fill>
        <patternFill patternType="solid">
          <fgColor rgb="FFF7DDDD"/>
        </patternFill>
      </fill>
    </dxf>
    <dxf>
      <fill>
        <patternFill patternType="solid">
          <fgColor rgb="FFF6E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8" customWidth="1" min="3" max="3"/>
    <col width="24" customWidth="1" min="4" max="4"/>
    <col width="8" customWidth="1" min="5" max="5"/>
    <col width="9" customWidth="1" min="6" max="6"/>
    <col width="9" customWidth="1" min="7" max="7"/>
    <col width="9" customWidth="1" min="8" max="8"/>
    <col width="8" customWidth="1" min="9" max="9"/>
    <col width="12" customWidth="1" min="10" max="10"/>
    <col width="20" customWidth="1" min="11" max="11"/>
    <col width="16" customWidth="1" min="12" max="12"/>
    <col width="40" customWidth="1" min="13" max="13"/>
    <col width="22" customWidth="1" min="14" max="14"/>
    <col width="13" customWidth="1" min="15" max="15"/>
    <col width="9" customWidth="1" min="16" max="16"/>
    <col width="11" customWidth="1" min="17" max="17"/>
    <col width="24" customWidth="1" min="18" max="18"/>
    <col width="13" customWidth="1" min="19" max="19"/>
    <col width="30" customWidth="1" min="20" max="20"/>
  </cols>
  <sheetData>
    <row r="1">
      <c r="A1" s="1" t="inlineStr">
        <is>
          <t>Account Tracker</t>
        </is>
      </c>
    </row>
    <row r="2">
      <c r="A2" s="2" t="inlineStr">
        <is>
          <t>Free Starter Kit · one tab, twenty accounts. Type the white columns; the grey ones calculate.</t>
        </is>
      </c>
    </row>
    <row r="4">
      <c r="A4" s="3" t="inlineStr">
        <is>
          <t>Company</t>
        </is>
      </c>
      <c r="B4" s="3" t="inlineStr">
        <is>
          <t>City</t>
        </is>
      </c>
      <c r="C4" s="3" t="inlineStr">
        <is>
          <t>Type</t>
        </is>
      </c>
      <c r="D4" s="3" t="inlineStr">
        <is>
          <t>Website or phone</t>
        </is>
      </c>
      <c r="E4" s="3" t="inlineStr">
        <is>
          <t>Fit 0-5</t>
        </is>
      </c>
      <c r="F4" s="3" t="inlineStr">
        <is>
          <t>Value 0-5</t>
        </is>
      </c>
      <c r="G4" s="3" t="inlineStr">
        <is>
          <t>Trigger 0-5</t>
        </is>
      </c>
      <c r="H4" s="3" t="inlineStr">
        <is>
          <t>Contact 0-5</t>
        </is>
      </c>
      <c r="I4" s="3" t="inlineStr">
        <is>
          <t>SCORE</t>
        </is>
      </c>
      <c r="J4" s="3" t="inlineStr">
        <is>
          <t>Work it?</t>
        </is>
      </c>
      <c r="K4" s="3" t="inlineStr">
        <is>
          <t>Who signs (role)</t>
        </is>
      </c>
      <c r="L4" s="3" t="inlineStr">
        <is>
          <t>Name</t>
        </is>
      </c>
      <c r="M4" s="3" t="inlineStr">
        <is>
          <t>Trigger — what you saw</t>
        </is>
      </c>
      <c r="N4" s="3" t="inlineStr">
        <is>
          <t>Where you saw it</t>
        </is>
      </c>
      <c r="O4" s="3" t="inlineStr">
        <is>
          <t>Date it happened</t>
        </is>
      </c>
      <c r="P4" s="3" t="inlineStr">
        <is>
          <t>Days old</t>
        </is>
      </c>
      <c r="Q4" s="3" t="inlineStr">
        <is>
          <t>Contacted?</t>
        </is>
      </c>
      <c r="R4" s="3" t="inlineStr">
        <is>
          <t>Next step</t>
        </is>
      </c>
      <c r="S4" s="3" t="inlineStr">
        <is>
          <t>Next step date</t>
        </is>
      </c>
      <c r="T4" s="3" t="inlineStr">
        <is>
          <t>Notes</t>
        </is>
      </c>
    </row>
    <row r="5">
      <c r="A5" s="4" t="inlineStr">
        <is>
          <t>(example) Northgate Dental</t>
        </is>
      </c>
      <c r="B5" s="4" t="inlineStr">
        <is>
          <t>Irving</t>
        </is>
      </c>
      <c r="C5" s="4" t="inlineStr">
        <is>
          <t>Medical / dental</t>
        </is>
      </c>
      <c r="D5" s="4" t="inlineStr">
        <is>
          <t>northgate-example.com</t>
        </is>
      </c>
      <c r="E5" s="4" t="n">
        <v>4</v>
      </c>
      <c r="F5" s="4" t="n">
        <v>3</v>
      </c>
      <c r="G5" s="4" t="n">
        <v>5</v>
      </c>
      <c r="H5" s="4" t="n">
        <v>3</v>
      </c>
      <c r="I5" s="5">
        <f>IF(COUNT(E5:H5)=4,SUM(E5:H5),"")</f>
        <v/>
      </c>
      <c r="J5" s="6">
        <f>IF(I5="","",IF(I5&gt;=13,"Work it now",IF(I5&gt;=7,"Maybe","Skip")))</f>
        <v/>
      </c>
      <c r="K5" s="4" t="inlineStr">
        <is>
          <t>Practice Manager</t>
        </is>
      </c>
      <c r="L5" s="4" t="inlineStr">
        <is>
          <t>Dana Reyes</t>
        </is>
      </c>
      <c r="M5" s="4" t="inlineStr">
        <is>
          <t>Listing address changed to 5910 N MacArthur</t>
        </is>
      </c>
      <c r="N5" s="4" t="inlineStr">
        <is>
          <t>Google Business Profile</t>
        </is>
      </c>
      <c r="O5" s="4">
        <f>TODAY()-26</f>
        <v/>
      </c>
      <c r="P5" s="6">
        <f>IF(O5="","",TODAY()-O5)</f>
        <v/>
      </c>
      <c r="Q5" s="4" t="inlineStr">
        <is>
          <t>No</t>
        </is>
      </c>
      <c r="R5" s="4" t="inlineStr">
        <is>
          <t>Send first email</t>
        </is>
      </c>
      <c r="S5" s="4">
        <f>TODAY()+1</f>
        <v/>
      </c>
      <c r="T5" s="4" t="inlineStr">
        <is>
          <t>Moved three weeks ago. Practice manager named on the site.</t>
        </is>
      </c>
    </row>
    <row r="6">
      <c r="A6" s="4" t="inlineStr">
        <is>
          <t>(example) Cedar Ridge Offices</t>
        </is>
      </c>
      <c r="B6" s="4" t="inlineStr">
        <is>
          <t>Plano</t>
        </is>
      </c>
      <c r="C6" s="4" t="inlineStr">
        <is>
          <t>Office</t>
        </is>
      </c>
      <c r="D6" s="4" t="inlineStr">
        <is>
          <t>cedarridge-example.com</t>
        </is>
      </c>
      <c r="E6" s="4" t="n">
        <v>4</v>
      </c>
      <c r="F6" s="4" t="n">
        <v>4</v>
      </c>
      <c r="G6" s="4" t="n">
        <v>3</v>
      </c>
      <c r="H6" s="4" t="n">
        <v>2</v>
      </c>
      <c r="I6" s="5">
        <f>IF(COUNT(E6:H6)=4,SUM(E6:H6),"")</f>
        <v/>
      </c>
      <c r="J6" s="6">
        <f>IF(I6="","",IF(I6&gt;=13,"Work it now",IF(I6&gt;=7,"Maybe","Skip")))</f>
        <v/>
      </c>
      <c r="K6" s="4" t="inlineStr">
        <is>
          <t>Office Manager</t>
        </is>
      </c>
      <c r="L6" s="4" t="inlineStr"/>
      <c r="M6" s="4" t="inlineStr">
        <is>
          <t>Job post: Office Manager, 2 weeks ago</t>
        </is>
      </c>
      <c r="N6" s="4" t="inlineStr">
        <is>
          <t>Indeed</t>
        </is>
      </c>
      <c r="O6" s="4">
        <f>TODAY()-14</f>
        <v/>
      </c>
      <c r="P6" s="6">
        <f>IF(O6="","",TODAY()-O6)</f>
        <v/>
      </c>
      <c r="Q6" s="4" t="inlineStr">
        <is>
          <t>No</t>
        </is>
      </c>
      <c r="R6" s="4" t="inlineStr">
        <is>
          <t>Find the manager's name</t>
        </is>
      </c>
      <c r="S6" s="4">
        <f>TODAY()+2</f>
        <v/>
      </c>
      <c r="T6" s="4" t="inlineStr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5">
        <f>IF(COUNT(E7:H7)=4,SUM(E7:H7),"")</f>
        <v/>
      </c>
      <c r="J7" s="7">
        <f>IF(I7="","",IF(I7&gt;=13,"Work it now",IF(I7&gt;=7,"Maybe","Skip")))</f>
        <v/>
      </c>
      <c r="K7" s="4" t="n"/>
      <c r="L7" s="4" t="n"/>
      <c r="M7" s="4" t="n"/>
      <c r="N7" s="4" t="n"/>
      <c r="O7" s="4" t="n"/>
      <c r="P7" s="7">
        <f>IF(O7="","",TODAY()-O7)</f>
        <v/>
      </c>
      <c r="Q7" s="4" t="n"/>
      <c r="R7" s="4" t="n"/>
      <c r="S7" s="4" t="n"/>
      <c r="T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5">
        <f>IF(COUNT(E8:H8)=4,SUM(E8:H8),"")</f>
        <v/>
      </c>
      <c r="J8" s="7">
        <f>IF(I8="","",IF(I8&gt;=13,"Work it now",IF(I8&gt;=7,"Maybe","Skip")))</f>
        <v/>
      </c>
      <c r="K8" s="4" t="n"/>
      <c r="L8" s="4" t="n"/>
      <c r="M8" s="4" t="n"/>
      <c r="N8" s="4" t="n"/>
      <c r="O8" s="4" t="n"/>
      <c r="P8" s="7">
        <f>IF(O8="","",TODAY()-O8)</f>
        <v/>
      </c>
      <c r="Q8" s="4" t="n"/>
      <c r="R8" s="4" t="n"/>
      <c r="S8" s="4" t="n"/>
      <c r="T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5">
        <f>IF(COUNT(E9:H9)=4,SUM(E9:H9),"")</f>
        <v/>
      </c>
      <c r="J9" s="7">
        <f>IF(I9="","",IF(I9&gt;=13,"Work it now",IF(I9&gt;=7,"Maybe","Skip")))</f>
        <v/>
      </c>
      <c r="K9" s="4" t="n"/>
      <c r="L9" s="4" t="n"/>
      <c r="M9" s="4" t="n"/>
      <c r="N9" s="4" t="n"/>
      <c r="O9" s="4" t="n"/>
      <c r="P9" s="7">
        <f>IF(O9="","",TODAY()-O9)</f>
        <v/>
      </c>
      <c r="Q9" s="4" t="n"/>
      <c r="R9" s="4" t="n"/>
      <c r="S9" s="4" t="n"/>
      <c r="T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5">
        <f>IF(COUNT(E10:H10)=4,SUM(E10:H10),"")</f>
        <v/>
      </c>
      <c r="J10" s="7">
        <f>IF(I10="","",IF(I10&gt;=13,"Work it now",IF(I10&gt;=7,"Maybe","Skip")))</f>
        <v/>
      </c>
      <c r="K10" s="4" t="n"/>
      <c r="L10" s="4" t="n"/>
      <c r="M10" s="4" t="n"/>
      <c r="N10" s="4" t="n"/>
      <c r="O10" s="4" t="n"/>
      <c r="P10" s="7">
        <f>IF(O10="","",TODAY()-O10)</f>
        <v/>
      </c>
      <c r="Q10" s="4" t="n"/>
      <c r="R10" s="4" t="n"/>
      <c r="S10" s="4" t="n"/>
      <c r="T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5">
        <f>IF(COUNT(E11:H11)=4,SUM(E11:H11),"")</f>
        <v/>
      </c>
      <c r="J11" s="7">
        <f>IF(I11="","",IF(I11&gt;=13,"Work it now",IF(I11&gt;=7,"Maybe","Skip")))</f>
        <v/>
      </c>
      <c r="K11" s="4" t="n"/>
      <c r="L11" s="4" t="n"/>
      <c r="M11" s="4" t="n"/>
      <c r="N11" s="4" t="n"/>
      <c r="O11" s="4" t="n"/>
      <c r="P11" s="7">
        <f>IF(O11="","",TODAY()-O11)</f>
        <v/>
      </c>
      <c r="Q11" s="4" t="n"/>
      <c r="R11" s="4" t="n"/>
      <c r="S11" s="4" t="n"/>
      <c r="T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5">
        <f>IF(COUNT(E12:H12)=4,SUM(E12:H12),"")</f>
        <v/>
      </c>
      <c r="J12" s="7">
        <f>IF(I12="","",IF(I12&gt;=13,"Work it now",IF(I12&gt;=7,"Maybe","Skip")))</f>
        <v/>
      </c>
      <c r="K12" s="4" t="n"/>
      <c r="L12" s="4" t="n"/>
      <c r="M12" s="4" t="n"/>
      <c r="N12" s="4" t="n"/>
      <c r="O12" s="4" t="n"/>
      <c r="P12" s="7">
        <f>IF(O12="","",TODAY()-O12)</f>
        <v/>
      </c>
      <c r="Q12" s="4" t="n"/>
      <c r="R12" s="4" t="n"/>
      <c r="S12" s="4" t="n"/>
      <c r="T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5">
        <f>IF(COUNT(E13:H13)=4,SUM(E13:H13),"")</f>
        <v/>
      </c>
      <c r="J13" s="7">
        <f>IF(I13="","",IF(I13&gt;=13,"Work it now",IF(I13&gt;=7,"Maybe","Skip")))</f>
        <v/>
      </c>
      <c r="K13" s="4" t="n"/>
      <c r="L13" s="4" t="n"/>
      <c r="M13" s="4" t="n"/>
      <c r="N13" s="4" t="n"/>
      <c r="O13" s="4" t="n"/>
      <c r="P13" s="7">
        <f>IF(O13="","",TODAY()-O13)</f>
        <v/>
      </c>
      <c r="Q13" s="4" t="n"/>
      <c r="R13" s="4" t="n"/>
      <c r="S13" s="4" t="n"/>
      <c r="T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5">
        <f>IF(COUNT(E14:H14)=4,SUM(E14:H14),"")</f>
        <v/>
      </c>
      <c r="J14" s="7">
        <f>IF(I14="","",IF(I14&gt;=13,"Work it now",IF(I14&gt;=7,"Maybe","Skip")))</f>
        <v/>
      </c>
      <c r="K14" s="4" t="n"/>
      <c r="L14" s="4" t="n"/>
      <c r="M14" s="4" t="n"/>
      <c r="N14" s="4" t="n"/>
      <c r="O14" s="4" t="n"/>
      <c r="P14" s="7">
        <f>IF(O14="","",TODAY()-O14)</f>
        <v/>
      </c>
      <c r="Q14" s="4" t="n"/>
      <c r="R14" s="4" t="n"/>
      <c r="S14" s="4" t="n"/>
      <c r="T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5">
        <f>IF(COUNT(E15:H15)=4,SUM(E15:H15),"")</f>
        <v/>
      </c>
      <c r="J15" s="7">
        <f>IF(I15="","",IF(I15&gt;=13,"Work it now",IF(I15&gt;=7,"Maybe","Skip")))</f>
        <v/>
      </c>
      <c r="K15" s="4" t="n"/>
      <c r="L15" s="4" t="n"/>
      <c r="M15" s="4" t="n"/>
      <c r="N15" s="4" t="n"/>
      <c r="O15" s="4" t="n"/>
      <c r="P15" s="7">
        <f>IF(O15="","",TODAY()-O15)</f>
        <v/>
      </c>
      <c r="Q15" s="4" t="n"/>
      <c r="R15" s="4" t="n"/>
      <c r="S15" s="4" t="n"/>
      <c r="T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5">
        <f>IF(COUNT(E16:H16)=4,SUM(E16:H16),"")</f>
        <v/>
      </c>
      <c r="J16" s="7">
        <f>IF(I16="","",IF(I16&gt;=13,"Work it now",IF(I16&gt;=7,"Maybe","Skip")))</f>
        <v/>
      </c>
      <c r="K16" s="4" t="n"/>
      <c r="L16" s="4" t="n"/>
      <c r="M16" s="4" t="n"/>
      <c r="N16" s="4" t="n"/>
      <c r="O16" s="4" t="n"/>
      <c r="P16" s="7">
        <f>IF(O16="","",TODAY()-O16)</f>
        <v/>
      </c>
      <c r="Q16" s="4" t="n"/>
      <c r="R16" s="4" t="n"/>
      <c r="S16" s="4" t="n"/>
      <c r="T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5">
        <f>IF(COUNT(E17:H17)=4,SUM(E17:H17),"")</f>
        <v/>
      </c>
      <c r="J17" s="7">
        <f>IF(I17="","",IF(I17&gt;=13,"Work it now",IF(I17&gt;=7,"Maybe","Skip")))</f>
        <v/>
      </c>
      <c r="K17" s="4" t="n"/>
      <c r="L17" s="4" t="n"/>
      <c r="M17" s="4" t="n"/>
      <c r="N17" s="4" t="n"/>
      <c r="O17" s="4" t="n"/>
      <c r="P17" s="7">
        <f>IF(O17="","",TODAY()-O17)</f>
        <v/>
      </c>
      <c r="Q17" s="4" t="n"/>
      <c r="R17" s="4" t="n"/>
      <c r="S17" s="4" t="n"/>
      <c r="T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5">
        <f>IF(COUNT(E18:H18)=4,SUM(E18:H18),"")</f>
        <v/>
      </c>
      <c r="J18" s="7">
        <f>IF(I18="","",IF(I18&gt;=13,"Work it now",IF(I18&gt;=7,"Maybe","Skip")))</f>
        <v/>
      </c>
      <c r="K18" s="4" t="n"/>
      <c r="L18" s="4" t="n"/>
      <c r="M18" s="4" t="n"/>
      <c r="N18" s="4" t="n"/>
      <c r="O18" s="4" t="n"/>
      <c r="P18" s="7">
        <f>IF(O18="","",TODAY()-O18)</f>
        <v/>
      </c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5">
        <f>IF(COUNT(E19:H19)=4,SUM(E19:H19),"")</f>
        <v/>
      </c>
      <c r="J19" s="7">
        <f>IF(I19="","",IF(I19&gt;=13,"Work it now",IF(I19&gt;=7,"Maybe","Skip")))</f>
        <v/>
      </c>
      <c r="K19" s="4" t="n"/>
      <c r="L19" s="4" t="n"/>
      <c r="M19" s="4" t="n"/>
      <c r="N19" s="4" t="n"/>
      <c r="O19" s="4" t="n"/>
      <c r="P19" s="7">
        <f>IF(O19="","",TODAY()-O19)</f>
        <v/>
      </c>
      <c r="Q19" s="4" t="n"/>
      <c r="R19" s="4" t="n"/>
      <c r="S19" s="4" t="n"/>
      <c r="T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5">
        <f>IF(COUNT(E20:H20)=4,SUM(E20:H20),"")</f>
        <v/>
      </c>
      <c r="J20" s="7">
        <f>IF(I20="","",IF(I20&gt;=13,"Work it now",IF(I20&gt;=7,"Maybe","Skip")))</f>
        <v/>
      </c>
      <c r="K20" s="4" t="n"/>
      <c r="L20" s="4" t="n"/>
      <c r="M20" s="4" t="n"/>
      <c r="N20" s="4" t="n"/>
      <c r="O20" s="4" t="n"/>
      <c r="P20" s="7">
        <f>IF(O20="","",TODAY()-O20)</f>
        <v/>
      </c>
      <c r="Q20" s="4" t="n"/>
      <c r="R20" s="4" t="n"/>
      <c r="S20" s="4" t="n"/>
      <c r="T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5">
        <f>IF(COUNT(E21:H21)=4,SUM(E21:H21),"")</f>
        <v/>
      </c>
      <c r="J21" s="7">
        <f>IF(I21="","",IF(I21&gt;=13,"Work it now",IF(I21&gt;=7,"Maybe","Skip")))</f>
        <v/>
      </c>
      <c r="K21" s="4" t="n"/>
      <c r="L21" s="4" t="n"/>
      <c r="M21" s="4" t="n"/>
      <c r="N21" s="4" t="n"/>
      <c r="O21" s="4" t="n"/>
      <c r="P21" s="7">
        <f>IF(O21="","",TODAY()-O21)</f>
        <v/>
      </c>
      <c r="Q21" s="4" t="n"/>
      <c r="R21" s="4" t="n"/>
      <c r="S21" s="4" t="n"/>
      <c r="T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5">
        <f>IF(COUNT(E22:H22)=4,SUM(E22:H22),"")</f>
        <v/>
      </c>
      <c r="J22" s="7">
        <f>IF(I22="","",IF(I22&gt;=13,"Work it now",IF(I22&gt;=7,"Maybe","Skip")))</f>
        <v/>
      </c>
      <c r="K22" s="4" t="n"/>
      <c r="L22" s="4" t="n"/>
      <c r="M22" s="4" t="n"/>
      <c r="N22" s="4" t="n"/>
      <c r="O22" s="4" t="n"/>
      <c r="P22" s="7">
        <f>IF(O22="","",TODAY()-O22)</f>
        <v/>
      </c>
      <c r="Q22" s="4" t="n"/>
      <c r="R22" s="4" t="n"/>
      <c r="S22" s="4" t="n"/>
      <c r="T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5">
        <f>IF(COUNT(E23:H23)=4,SUM(E23:H23),"")</f>
        <v/>
      </c>
      <c r="J23" s="7">
        <f>IF(I23="","",IF(I23&gt;=13,"Work it now",IF(I23&gt;=7,"Maybe","Skip")))</f>
        <v/>
      </c>
      <c r="K23" s="4" t="n"/>
      <c r="L23" s="4" t="n"/>
      <c r="M23" s="4" t="n"/>
      <c r="N23" s="4" t="n"/>
      <c r="O23" s="4" t="n"/>
      <c r="P23" s="7">
        <f>IF(O23="","",TODAY()-O23)</f>
        <v/>
      </c>
      <c r="Q23" s="4" t="n"/>
      <c r="R23" s="4" t="n"/>
      <c r="S23" s="4" t="n"/>
      <c r="T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5">
        <f>IF(COUNT(E24:H24)=4,SUM(E24:H24),"")</f>
        <v/>
      </c>
      <c r="J24" s="7">
        <f>IF(I24="","",IF(I24&gt;=13,"Work it now",IF(I24&gt;=7,"Maybe","Skip")))</f>
        <v/>
      </c>
      <c r="K24" s="4" t="n"/>
      <c r="L24" s="4" t="n"/>
      <c r="M24" s="4" t="n"/>
      <c r="N24" s="4" t="n"/>
      <c r="O24" s="4" t="n"/>
      <c r="P24" s="7">
        <f>IF(O24="","",TODAY()-O24)</f>
        <v/>
      </c>
      <c r="Q24" s="4" t="n"/>
      <c r="R24" s="4" t="n"/>
      <c r="S24" s="4" t="n"/>
      <c r="T24" s="4" t="n"/>
    </row>
    <row r="27">
      <c r="A27" s="8" t="inlineStr">
        <is>
          <t>How to use this</t>
        </is>
      </c>
    </row>
    <row r="28">
      <c r="A28" s="9" t="inlineStr">
        <is>
          <t>1.  Pick ONE building type and ONE suburb. Broad searches return the names everyone already calls.</t>
        </is>
      </c>
    </row>
    <row r="29">
      <c r="A29" s="9" t="inlineStr">
        <is>
          <t>2.  Add twenty accounts. Google Maps is the easiest source. Delete the two examples.</t>
        </is>
      </c>
    </row>
    <row r="30">
      <c r="A30" s="9" t="inlineStr">
        <is>
          <t>3.  Apply the seven filters below. Expect to delete most of them.</t>
        </is>
      </c>
    </row>
    <row r="31">
      <c r="A31" s="9" t="inlineStr">
        <is>
          <t>4.  Score the survivors. Work 13+ first. Below 7, stop — it costs more than it returns.</t>
        </is>
      </c>
    </row>
    <row r="32">
      <c r="A32" s="9" t="inlineStr">
        <is>
          <t>5.  For the top few, find the trigger. Log what you SAW, where, and the date it happened.</t>
        </is>
      </c>
    </row>
    <row r="33">
      <c r="A33" s="9" t="inlineStr">
        <is>
          <t>6.  Send the matching email from the PDF. Put a next step and a date on every account you contact.</t>
        </is>
      </c>
    </row>
    <row r="34">
      <c r="A34" s="9" t="inlineStr"/>
    </row>
    <row r="35">
      <c r="A35" s="8" t="inlineStr">
        <is>
          <t>The seven filters — delete an account if any is true</t>
        </is>
      </c>
    </row>
    <row r="36">
      <c r="A36" s="9" t="inlineStr">
        <is>
          <t xml:space="preserve">   •  Home-based, virtual office, or a PO box rather than real commercial premises</t>
        </is>
      </c>
    </row>
    <row r="37">
      <c r="A37" s="9" t="inlineStr">
        <is>
          <t xml:space="preserve">   •  Under roughly 1,500 sq ft — the contract won't justify the visit</t>
        </is>
      </c>
    </row>
    <row r="38">
      <c r="A38" s="9" t="inlineStr">
        <is>
          <t xml:space="preserve">   •  A national chain or corporate campus where cleaning is contracted at head office</t>
        </is>
      </c>
    </row>
    <row r="39">
      <c r="A39" s="9" t="inlineStr">
        <is>
          <t xml:space="preserve">   •  No reviews or updates in twelve months — it may not be trading</t>
        </is>
      </c>
    </row>
    <row r="40">
      <c r="A40" s="9" t="inlineStr">
        <is>
          <t xml:space="preserve">   •  A restaurant or shop with closing staff who already clean</t>
        </is>
      </c>
    </row>
    <row r="41">
      <c r="A41" s="9" t="inlineStr">
        <is>
          <t xml:space="preserve">   •  No website and no phone</t>
        </is>
      </c>
    </row>
    <row r="42">
      <c r="A42" s="9" t="inlineStr">
        <is>
          <t xml:space="preserve">   •  Outside your area, or needs something you don't do</t>
        </is>
      </c>
    </row>
    <row r="43">
      <c r="A43" s="9" t="inlineStr"/>
    </row>
    <row r="44">
      <c r="A44" s="8" t="inlineStr">
        <is>
          <t>Scoring, briefly</t>
        </is>
      </c>
    </row>
    <row r="45">
      <c r="A45" s="9" t="inlineStr">
        <is>
          <t>Fit — is this the kind of building you should pursue? 0 means don't.</t>
        </is>
      </c>
    </row>
    <row r="46">
      <c r="A46" s="9" t="inlineStr">
        <is>
          <t>Value — worth the effort if you win it? Estimate from size and frequency.</t>
        </is>
      </c>
    </row>
    <row r="47">
      <c r="A47" s="9" t="inlineStr">
        <is>
          <t>Trigger — is there a dated, public reason to make contact now? No source or date means 0.</t>
        </is>
      </c>
    </row>
    <row r="48">
      <c r="A48" s="9" t="inlineStr">
        <is>
          <t>Contact — can you reach someone who actually decides? A named person with a real email is 5.</t>
        </is>
      </c>
    </row>
    <row r="49">
      <c r="A49" s="9" t="inlineStr"/>
    </row>
    <row r="50">
      <c r="A50" s="8" t="inlineStr">
        <is>
          <t>The rule that matters most</t>
        </is>
      </c>
    </row>
    <row r="51">
      <c r="A51" s="9" t="inlineStr">
        <is>
          <t>The trigger column takes what you OBSERVED, not what you think it means.</t>
        </is>
      </c>
    </row>
    <row r="52">
      <c r="A52" s="9" t="inlineStr">
        <is>
          <t>Good: 'Listing address changed to 5910 N MacArthur.'</t>
        </is>
      </c>
    </row>
    <row r="53">
      <c r="A53" s="9" t="inlineStr">
        <is>
          <t>Not: 'They moved so they need a cleaner.'</t>
        </is>
      </c>
    </row>
    <row r="54">
      <c r="A54" s="9" t="inlineStr">
        <is>
          <t>The second one isn't something you know, and it's the reason most cold email gets deleted.</t>
        </is>
      </c>
    </row>
    <row r="55">
      <c r="A55" s="9" t="inlineStr"/>
    </row>
    <row r="56">
      <c r="A56" s="8" t="inlineStr">
        <is>
          <t>If a row turns amber</t>
        </is>
      </c>
    </row>
    <row r="57">
      <c r="A57" s="9" t="inlineStr">
        <is>
          <t>Trigger column — you've written a trigger with no source or no date. Add both or clear it.</t>
        </is>
      </c>
    </row>
    <row r="58">
      <c r="A58" s="9" t="inlineStr">
        <is>
          <t>Next step date — it's in the past. Either do it or change the date.</t>
        </is>
      </c>
    </row>
    <row r="61">
      <c r="A61" s="2" t="inlineStr">
        <is>
          <t>This is the one-tab version. The full system has eleven tabs — stages, follow-ups, campaigns and a weekly scoreboard.</t>
        </is>
      </c>
    </row>
  </sheetData>
  <conditionalFormatting sqref="J5:J24">
    <cfRule type="cellIs" priority="1" operator="equal" dxfId="0">
      <formula>"Work it now"</formula>
    </cfRule>
    <cfRule type="cellIs" priority="2" operator="equal" dxfId="1">
      <formula>"Skip"</formula>
    </cfRule>
  </conditionalFormatting>
  <conditionalFormatting sqref="Q5:Q24">
    <cfRule type="cellIs" priority="3" operator="equal" dxfId="1">
      <formula>"Do not contact"</formula>
    </cfRule>
  </conditionalFormatting>
  <conditionalFormatting sqref="S5:S24">
    <cfRule type="expression" priority="4" dxfId="2">
      <formula>AND($S5&lt;&gt;"",$S5&lt;TODAY(),$Q5&lt;&gt;"Do not contact")</formula>
    </cfRule>
  </conditionalFormatting>
  <conditionalFormatting sqref="M5:M24">
    <cfRule type="expression" priority="5" dxfId="2">
      <formula>AND($M5&lt;&gt;"",OR($N5="",$O5=""))</formula>
    </cfRule>
  </conditionalFormatting>
  <dataValidations count="6">
    <dataValidation sqref="C5:C24" showDropDown="0" showInputMessage="0" showErrorMessage="0" allowBlank="1" type="list">
      <formula1>Lists!$A$1:$A$8</formula1>
    </dataValidation>
    <dataValidation sqref="E5:E24" showDropDown="0" showInputMessage="0" showErrorMessage="0" allowBlank="1" type="list">
      <formula1>Lists!$B$1:$B$6</formula1>
    </dataValidation>
    <dataValidation sqref="F5:F24" showDropDown="0" showInputMessage="0" showErrorMessage="0" allowBlank="1" type="list">
      <formula1>Lists!$B$1:$B$6</formula1>
    </dataValidation>
    <dataValidation sqref="G5:G24" showDropDown="0" showInputMessage="0" showErrorMessage="0" allowBlank="1" type="list">
      <formula1>Lists!$B$1:$B$6</formula1>
    </dataValidation>
    <dataValidation sqref="H5:H24" showDropDown="0" showInputMessage="0" showErrorMessage="0" allowBlank="1" type="list">
      <formula1>Lists!$B$1:$B$6</formula1>
    </dataValidation>
    <dataValidation sqref="Q5:Q24" showDropDown="0" showInputMessage="0" showErrorMessage="0" allowBlank="1" type="list">
      <formula1>Lists!$C$1:$C$5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management</t>
        </is>
      </c>
      <c r="B1" t="inlineStr">
        <is>
          <t>0</t>
        </is>
      </c>
      <c r="C1" t="inlineStr">
        <is>
          <t>No</t>
        </is>
      </c>
    </row>
    <row r="2">
      <c r="A2" t="inlineStr">
        <is>
          <t>Office</t>
        </is>
      </c>
      <c r="B2" t="inlineStr">
        <is>
          <t>1</t>
        </is>
      </c>
      <c r="C2" t="inlineStr">
        <is>
          <t>Yes</t>
        </is>
      </c>
    </row>
    <row r="3">
      <c r="A3" t="inlineStr">
        <is>
          <t>Medical / dental</t>
        </is>
      </c>
      <c r="B3" t="inlineStr">
        <is>
          <t>2</t>
        </is>
      </c>
      <c r="C3" t="inlineStr">
        <is>
          <t>Replied</t>
        </is>
      </c>
    </row>
    <row r="4">
      <c r="A4" t="inlineStr">
        <is>
          <t>Industrial</t>
        </is>
      </c>
      <c r="B4" t="inlineStr">
        <is>
          <t>3</t>
        </is>
      </c>
      <c r="C4" t="inlineStr">
        <is>
          <t>Not interested</t>
        </is>
      </c>
    </row>
    <row r="5">
      <c r="A5" t="inlineStr">
        <is>
          <t>Retail</t>
        </is>
      </c>
      <c r="B5" t="inlineStr">
        <is>
          <t>4</t>
        </is>
      </c>
      <c r="C5" t="inlineStr">
        <is>
          <t>Do not contact</t>
        </is>
      </c>
    </row>
    <row r="6">
      <c r="A6" t="inlineStr">
        <is>
          <t>School / daycare</t>
        </is>
      </c>
      <c r="B6" t="inlineStr">
        <is>
          <t>5</t>
        </is>
      </c>
    </row>
    <row r="7">
      <c r="A7" t="inlineStr">
        <is>
          <t>Fitness</t>
        </is>
      </c>
    </row>
    <row r="8">
      <c r="A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2026-09-11T17:20:41Z</dcterms:created>
  <dcterms:modified xsi:type="dcterms:W3CDTF">2026-09-11T17:20:41Z</dcterms:modified>
</cp:coreProperties>
</file>