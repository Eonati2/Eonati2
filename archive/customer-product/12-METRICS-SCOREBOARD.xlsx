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oreboard" sheetId="1" state="visible" r:id="rId1"/>
    <sheet name="How to read it" sheetId="2" state="visible" r:id="rId2"/>
    <sheet name="Defin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dd mmm"/>
    <numFmt numFmtId="165" formatCode="&quot;$&quot;#,##0"/>
    <numFmt numFmtId="166" formatCode="0.0%"/>
    <numFmt numFmtId="167" formatCode="0.0"/>
  </numFmts>
  <fonts count="6">
    <font>
      <name val="Calibri"/>
      <family val="2"/>
      <color theme="1"/>
      <sz val="11"/>
      <scheme val="minor"/>
    </font>
    <font>
      <name val="Calibri"/>
      <b val="1"/>
      <color rgb="FF0E5257"/>
      <sz val="18"/>
    </font>
    <font>
      <name val="Calibri"/>
      <i val="1"/>
      <color rgb="FF6E7E7C"/>
      <sz val="9"/>
    </font>
    <font>
      <name val="Calibri"/>
      <b val="1"/>
      <color rgb="FF0F1516"/>
      <sz val="11"/>
    </font>
    <font>
      <name val="Calibri"/>
      <color rgb="FF0F1516"/>
      <sz val="10"/>
    </font>
    <font>
      <name val="Calibri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DCEAEA"/>
      </patternFill>
    </fill>
    <fill>
      <patternFill patternType="solid">
        <fgColor rgb="FF0E5257"/>
      </patternFill>
    </fill>
  </fills>
  <borders count="2">
    <border>
      <left/>
      <right/>
      <top/>
      <bottom/>
      <diagonal/>
    </border>
    <border>
      <left style="thin">
        <color rgb="FFD6DEDC"/>
      </left>
      <right style="thin">
        <color rgb="FFD6DEDC"/>
      </right>
      <top style="thin">
        <color rgb="FFD6DEDC"/>
      </top>
      <bottom style="thin">
        <color rgb="FFD6DEDC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3" fillId="2" borderId="1" pivotButton="0" quotePrefix="0" xfId="0"/>
    <xf numFmtId="164" fontId="3" fillId="2" borderId="1" pivotButton="0" quotePrefix="0" xfId="0"/>
    <xf numFmtId="0" fontId="4" fillId="0" borderId="1" pivotButton="0" quotePrefix="0" xfId="0"/>
    <xf numFmtId="165" fontId="4" fillId="0" borderId="1" pivotButton="0" quotePrefix="0" xfId="0"/>
    <xf numFmtId="0" fontId="4" fillId="2" borderId="1" pivotButton="0" quotePrefix="0" xfId="0"/>
    <xf numFmtId="166" fontId="4" fillId="0" borderId="1" pivotButton="0" quotePrefix="0" xfId="0"/>
    <xf numFmtId="167" fontId="4" fillId="0" borderId="1" pivotButton="0" quotePrefix="0" xfId="0"/>
    <xf numFmtId="0" fontId="3" fillId="0" borderId="1" pivotButton="0" quotePrefix="0" xfId="0"/>
    <xf numFmtId="166" fontId="3" fillId="0" borderId="1" pivotButton="0" quotePrefix="0" xfId="0"/>
    <xf numFmtId="165" fontId="3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Outreach, positive replies and walkthroughs by week</a:t>
            </a:r>
          </a:p>
        </rich>
      </tx>
    </title>
    <plotArea>
      <lineChart>
        <grouping val="standard"/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'Scoreboard'!$B$9</f>
            </numRef>
          </val>
        </ser>
        <ser>
          <idx val="1"/>
          <order val="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'Scoreboard'!$C$9</f>
            </numRef>
          </val>
        </ser>
        <ser>
          <idx val="2"/>
          <order val="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'Scoreboard'!$D$9</f>
            </numRef>
          </val>
        </ser>
        <ser>
          <idx val="3"/>
          <order val="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'Scoreboard'!$E$9</f>
            </numRef>
          </val>
        </ser>
        <ser>
          <idx val="4"/>
          <order val="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'Scoreboard'!$F$9</f>
            </numRef>
          </val>
        </ser>
        <ser>
          <idx val="5"/>
          <order val="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'Scoreboard'!$G$9</f>
            </numRef>
          </val>
        </ser>
        <ser>
          <idx val="6"/>
          <order val="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'Scoreboard'!$H$9</f>
            </numRef>
          </val>
        </ser>
        <ser>
          <idx val="7"/>
          <order val="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'Scoreboard'!$I$9</f>
            </numRef>
          </val>
        </ser>
        <ser>
          <idx val="8"/>
          <order val="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'Scoreboard'!$J$9</f>
            </numRef>
          </val>
        </ser>
        <ser>
          <idx val="9"/>
          <order val="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'Scoreboard'!$K$9</f>
            </numRef>
          </val>
        </ser>
        <ser>
          <idx val="10"/>
          <order val="1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'Scoreboard'!$L$9</f>
            </numRef>
          </val>
        </ser>
        <ser>
          <idx val="11"/>
          <order val="1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'Scoreboard'!$M$9</f>
            </numRef>
          </val>
        </ser>
        <ser>
          <idx val="12"/>
          <order val="1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'Scoreboard'!$N$9</f>
            </numRef>
          </val>
        </ser>
        <ser>
          <idx val="13"/>
          <order val="1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'Scoreboard'!$B$12</f>
            </numRef>
          </val>
        </ser>
        <ser>
          <idx val="14"/>
          <order val="1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'Scoreboard'!$C$12</f>
            </numRef>
          </val>
        </ser>
        <ser>
          <idx val="15"/>
          <order val="1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'Scoreboard'!$D$12</f>
            </numRef>
          </val>
        </ser>
        <ser>
          <idx val="16"/>
          <order val="1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'Scoreboard'!$E$12</f>
            </numRef>
          </val>
        </ser>
        <ser>
          <idx val="17"/>
          <order val="1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'Scoreboard'!$F$12</f>
            </numRef>
          </val>
        </ser>
        <ser>
          <idx val="18"/>
          <order val="1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'Scoreboard'!$G$12</f>
            </numRef>
          </val>
        </ser>
        <ser>
          <idx val="19"/>
          <order val="1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'Scoreboard'!$H$12</f>
            </numRef>
          </val>
        </ser>
        <ser>
          <idx val="20"/>
          <order val="2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'Scoreboard'!$I$12</f>
            </numRef>
          </val>
        </ser>
        <ser>
          <idx val="21"/>
          <order val="2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'Scoreboard'!$J$12</f>
            </numRef>
          </val>
        </ser>
        <ser>
          <idx val="22"/>
          <order val="2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'Scoreboard'!$K$12</f>
            </numRef>
          </val>
        </ser>
        <ser>
          <idx val="23"/>
          <order val="2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'Scoreboard'!$L$12</f>
            </numRef>
          </val>
        </ser>
        <ser>
          <idx val="24"/>
          <order val="2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'Scoreboard'!$M$12</f>
            </numRef>
          </val>
        </ser>
        <ser>
          <idx val="25"/>
          <order val="2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'Scoreboard'!$N$12</f>
            </numRef>
          </val>
        </ser>
        <ser>
          <idx val="26"/>
          <order val="2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'Scoreboard'!$B$14</f>
            </numRef>
          </val>
        </ser>
        <ser>
          <idx val="27"/>
          <order val="2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'Scoreboard'!$C$14</f>
            </numRef>
          </val>
        </ser>
        <ser>
          <idx val="28"/>
          <order val="2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'Scoreboard'!$D$14</f>
            </numRef>
          </val>
        </ser>
        <ser>
          <idx val="29"/>
          <order val="29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'Scoreboard'!$E$14</f>
            </numRef>
          </val>
        </ser>
        <ser>
          <idx val="30"/>
          <order val="3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'Scoreboard'!$F$14</f>
            </numRef>
          </val>
        </ser>
        <ser>
          <idx val="31"/>
          <order val="31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'Scoreboard'!$G$14</f>
            </numRef>
          </val>
        </ser>
        <ser>
          <idx val="32"/>
          <order val="32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'Scoreboard'!$H$14</f>
            </numRef>
          </val>
        </ser>
        <ser>
          <idx val="33"/>
          <order val="33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'Scoreboard'!$I$14</f>
            </numRef>
          </val>
        </ser>
        <ser>
          <idx val="34"/>
          <order val="34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'Scoreboard'!$J$14</f>
            </numRef>
          </val>
        </ser>
        <ser>
          <idx val="35"/>
          <order val="35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'Scoreboard'!$K$14</f>
            </numRef>
          </val>
        </ser>
        <ser>
          <idx val="36"/>
          <order val="36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'Scoreboard'!$L$14</f>
            </numRef>
          </val>
        </ser>
        <ser>
          <idx val="37"/>
          <order val="37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'Scoreboard'!$M$14</f>
            </numRef>
          </val>
        </ser>
        <ser>
          <idx val="38"/>
          <order val="38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'Scoreboard'!$B$5:$N$5</f>
            </numRef>
          </cat>
          <val>
            <numRef>
              <f>'Scoreboard'!$N$14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37</row>
      <rowOff>0</rowOff>
    </from>
    <ext cx="72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</cols>
  <sheetData>
    <row r="1">
      <c r="A1" s="1" t="inlineStr">
        <is>
          <t>Weekly Scoreboard</t>
        </is>
      </c>
    </row>
    <row r="2">
      <c r="A2" s="2" t="inlineStr">
        <is>
          <t>Fill one column each Friday. Ten minutes. Everything below the line calculates itself.</t>
        </is>
      </c>
    </row>
    <row r="4">
      <c r="A4" s="3" t="inlineStr">
        <is>
          <t>WHAT YOU ENTER</t>
        </is>
      </c>
    </row>
    <row r="5">
      <c r="A5" s="4" t="inlineStr">
        <is>
          <t>Week ending</t>
        </is>
      </c>
      <c r="B5" s="5">
        <f>TODAY()-77</f>
        <v/>
      </c>
      <c r="C5" s="5">
        <f>B5+7</f>
        <v/>
      </c>
      <c r="D5" s="5">
        <f>C5+7</f>
        <v/>
      </c>
      <c r="E5" s="5">
        <f>D5+7</f>
        <v/>
      </c>
      <c r="F5" s="5">
        <f>E5+7</f>
        <v/>
      </c>
      <c r="G5" s="5">
        <f>F5+7</f>
        <v/>
      </c>
      <c r="H5" s="5">
        <f>G5+7</f>
        <v/>
      </c>
      <c r="I5" s="5">
        <f>H5+7</f>
        <v/>
      </c>
      <c r="J5" s="5">
        <f>I5+7</f>
        <v/>
      </c>
      <c r="K5" s="5">
        <f>J5+7</f>
        <v/>
      </c>
      <c r="L5" s="5">
        <f>K5+7</f>
        <v/>
      </c>
      <c r="M5" s="5">
        <f>L5+7</f>
        <v/>
      </c>
      <c r="N5" s="5">
        <f>M5+7</f>
        <v/>
      </c>
    </row>
    <row r="6">
      <c r="A6" s="6" t="inlineStr">
        <is>
          <t>Qualified accounts added</t>
        </is>
      </c>
      <c r="B6" s="6" t="n"/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6" t="n"/>
    </row>
    <row r="7">
      <c r="A7" s="6" t="inlineStr">
        <is>
          <t>Verified decision makers</t>
        </is>
      </c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</row>
    <row r="8">
      <c r="A8" s="6" t="inlineStr">
        <is>
          <t>Trigger-qualified accounts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6" t="n"/>
      <c r="K8" s="6" t="n"/>
      <c r="L8" s="6" t="n"/>
      <c r="M8" s="6" t="n"/>
      <c r="N8" s="6" t="n"/>
    </row>
    <row r="9">
      <c r="A9" s="6" t="inlineStr">
        <is>
          <t>Outreach sent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</row>
    <row r="10">
      <c r="A10" s="6" t="inlineStr">
        <is>
          <t>Follow-ups sent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6" t="n"/>
      <c r="K10" s="6" t="n"/>
      <c r="L10" s="6" t="n"/>
      <c r="M10" s="6" t="n"/>
      <c r="N10" s="6" t="n"/>
    </row>
    <row r="11">
      <c r="A11" s="6" t="inlineStr">
        <is>
          <t>Replies</t>
        </is>
      </c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</row>
    <row r="12">
      <c r="A12" s="6" t="inlineStr">
        <is>
          <t>Positive replies</t>
        </is>
      </c>
      <c r="B12" s="6" t="n"/>
      <c r="C12" s="6" t="n"/>
      <c r="D12" s="6" t="n"/>
      <c r="E12" s="6" t="n"/>
      <c r="F12" s="6" t="n"/>
      <c r="G12" s="6" t="n"/>
      <c r="H12" s="6" t="n"/>
      <c r="I12" s="6" t="n"/>
      <c r="J12" s="6" t="n"/>
      <c r="K12" s="6" t="n"/>
      <c r="L12" s="6" t="n"/>
      <c r="M12" s="6" t="n"/>
      <c r="N12" s="6" t="n"/>
    </row>
    <row r="13">
      <c r="A13" s="6" t="inlineStr">
        <is>
          <t>Conversations</t>
        </is>
      </c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</row>
    <row r="14">
      <c r="A14" s="6" t="inlineStr">
        <is>
          <t>Walkthroughs</t>
        </is>
      </c>
      <c r="B14" s="6" t="n"/>
      <c r="C14" s="6" t="n"/>
      <c r="D14" s="6" t="n"/>
      <c r="E14" s="6" t="n"/>
      <c r="F14" s="6" t="n"/>
      <c r="G14" s="6" t="n"/>
      <c r="H14" s="6" t="n"/>
      <c r="I14" s="6" t="n"/>
      <c r="J14" s="6" t="n"/>
      <c r="K14" s="6" t="n"/>
      <c r="L14" s="6" t="n"/>
      <c r="M14" s="6" t="n"/>
      <c r="N14" s="6" t="n"/>
    </row>
    <row r="15">
      <c r="A15" s="6" t="inlineStr">
        <is>
          <t>Proposals sent</t>
        </is>
      </c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</row>
    <row r="16">
      <c r="A16" s="6" t="inlineStr">
        <is>
          <t>Wins</t>
        </is>
      </c>
      <c r="B16" s="6" t="n"/>
      <c r="C16" s="6" t="n"/>
      <c r="D16" s="6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</row>
    <row r="17">
      <c r="A17" s="6" t="inlineStr">
        <is>
          <t>New recurring revenue won ($/mo)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</row>
    <row r="19">
      <c r="A19" s="3" t="inlineStr">
        <is>
          <t>WHAT IT CALCULATES</t>
        </is>
      </c>
    </row>
    <row r="20">
      <c r="A20" s="8" t="inlineStr">
        <is>
          <t>Reply rate</t>
        </is>
      </c>
      <c r="B20" s="9">
        <f>IF(OR(B9="",B9=0),"",B11/B9)</f>
        <v/>
      </c>
      <c r="C20" s="9">
        <f>IF(OR(C9="",C9=0),"",C11/C9)</f>
        <v/>
      </c>
      <c r="D20" s="9">
        <f>IF(OR(D9="",D9=0),"",D11/D9)</f>
        <v/>
      </c>
      <c r="E20" s="9">
        <f>IF(OR(E9="",E9=0),"",E11/E9)</f>
        <v/>
      </c>
      <c r="F20" s="9">
        <f>IF(OR(F9="",F9=0),"",F11/F9)</f>
        <v/>
      </c>
      <c r="G20" s="9">
        <f>IF(OR(G9="",G9=0),"",G11/G9)</f>
        <v/>
      </c>
      <c r="H20" s="9">
        <f>IF(OR(H9="",H9=0),"",H11/H9)</f>
        <v/>
      </c>
      <c r="I20" s="9">
        <f>IF(OR(I9="",I9=0),"",I11/I9)</f>
        <v/>
      </c>
      <c r="J20" s="9">
        <f>IF(OR(J9="",J9=0),"",J11/J9)</f>
        <v/>
      </c>
      <c r="K20" s="9">
        <f>IF(OR(K9="",K9=0),"",K11/K9)</f>
        <v/>
      </c>
      <c r="L20" s="9">
        <f>IF(OR(L9="",L9=0),"",L11/L9)</f>
        <v/>
      </c>
      <c r="M20" s="9">
        <f>IF(OR(M9="",M9=0),"",M11/M9)</f>
        <v/>
      </c>
      <c r="N20" s="9">
        <f>IF(OR(N9="",N9=0),"",N11/N9)</f>
        <v/>
      </c>
    </row>
    <row r="21">
      <c r="A21" s="8" t="inlineStr">
        <is>
          <t>Positive reply rate</t>
        </is>
      </c>
      <c r="B21" s="9">
        <f>IF(OR(B9="",B9=0),"",B12/B9)</f>
        <v/>
      </c>
      <c r="C21" s="9">
        <f>IF(OR(C9="",C9=0),"",C12/C9)</f>
        <v/>
      </c>
      <c r="D21" s="9">
        <f>IF(OR(D9="",D9=0),"",D12/D9)</f>
        <v/>
      </c>
      <c r="E21" s="9">
        <f>IF(OR(E9="",E9=0),"",E12/E9)</f>
        <v/>
      </c>
      <c r="F21" s="9">
        <f>IF(OR(F9="",F9=0),"",F12/F9)</f>
        <v/>
      </c>
      <c r="G21" s="9">
        <f>IF(OR(G9="",G9=0),"",G12/G9)</f>
        <v/>
      </c>
      <c r="H21" s="9">
        <f>IF(OR(H9="",H9=0),"",H12/H9)</f>
        <v/>
      </c>
      <c r="I21" s="9">
        <f>IF(OR(I9="",I9=0),"",I12/I9)</f>
        <v/>
      </c>
      <c r="J21" s="9">
        <f>IF(OR(J9="",J9=0),"",J12/J9)</f>
        <v/>
      </c>
      <c r="K21" s="9">
        <f>IF(OR(K9="",K9=0),"",K12/K9)</f>
        <v/>
      </c>
      <c r="L21" s="9">
        <f>IF(OR(L9="",L9=0),"",L12/L9)</f>
        <v/>
      </c>
      <c r="M21" s="9">
        <f>IF(OR(M9="",M9=0),"",M12/M9)</f>
        <v/>
      </c>
      <c r="N21" s="9">
        <f>IF(OR(N9="",N9=0),"",N12/N9)</f>
        <v/>
      </c>
    </row>
    <row r="22">
      <c r="A22" s="8" t="inlineStr">
        <is>
          <t>Positive → conversation</t>
        </is>
      </c>
      <c r="B22" s="9">
        <f>IF(OR(B12="",B12=0),"",B13/B12)</f>
        <v/>
      </c>
      <c r="C22" s="9">
        <f>IF(OR(C12="",C12=0),"",C13/C12)</f>
        <v/>
      </c>
      <c r="D22" s="9">
        <f>IF(OR(D12="",D12=0),"",D13/D12)</f>
        <v/>
      </c>
      <c r="E22" s="9">
        <f>IF(OR(E12="",E12=0),"",E13/E12)</f>
        <v/>
      </c>
      <c r="F22" s="9">
        <f>IF(OR(F12="",F12=0),"",F13/F12)</f>
        <v/>
      </c>
      <c r="G22" s="9">
        <f>IF(OR(G12="",G12=0),"",G13/G12)</f>
        <v/>
      </c>
      <c r="H22" s="9">
        <f>IF(OR(H12="",H12=0),"",H13/H12)</f>
        <v/>
      </c>
      <c r="I22" s="9">
        <f>IF(OR(I12="",I12=0),"",I13/I12)</f>
        <v/>
      </c>
      <c r="J22" s="9">
        <f>IF(OR(J12="",J12=0),"",J13/J12)</f>
        <v/>
      </c>
      <c r="K22" s="9">
        <f>IF(OR(K12="",K12=0),"",K13/K12)</f>
        <v/>
      </c>
      <c r="L22" s="9">
        <f>IF(OR(L12="",L12=0),"",L13/L12)</f>
        <v/>
      </c>
      <c r="M22" s="9">
        <f>IF(OR(M12="",M12=0),"",M13/M12)</f>
        <v/>
      </c>
      <c r="N22" s="9">
        <f>IF(OR(N12="",N12=0),"",N13/N12)</f>
        <v/>
      </c>
    </row>
    <row r="23">
      <c r="A23" s="8" t="inlineStr">
        <is>
          <t>Conversation → walkthrough</t>
        </is>
      </c>
      <c r="B23" s="9">
        <f>IF(OR(B13="",B13=0),"",B14/B13)</f>
        <v/>
      </c>
      <c r="C23" s="9">
        <f>IF(OR(C13="",C13=0),"",C14/C13)</f>
        <v/>
      </c>
      <c r="D23" s="9">
        <f>IF(OR(D13="",D13=0),"",D14/D13)</f>
        <v/>
      </c>
      <c r="E23" s="9">
        <f>IF(OR(E13="",E13=0),"",E14/E13)</f>
        <v/>
      </c>
      <c r="F23" s="9">
        <f>IF(OR(F13="",F13=0),"",F14/F13)</f>
        <v/>
      </c>
      <c r="G23" s="9">
        <f>IF(OR(G13="",G13=0),"",G14/G13)</f>
        <v/>
      </c>
      <c r="H23" s="9">
        <f>IF(OR(H13="",H13=0),"",H14/H13)</f>
        <v/>
      </c>
      <c r="I23" s="9">
        <f>IF(OR(I13="",I13=0),"",I14/I13)</f>
        <v/>
      </c>
      <c r="J23" s="9">
        <f>IF(OR(J13="",J13=0),"",J14/J13)</f>
        <v/>
      </c>
      <c r="K23" s="9">
        <f>IF(OR(K13="",K13=0),"",K14/K13)</f>
        <v/>
      </c>
      <c r="L23" s="9">
        <f>IF(OR(L13="",L13=0),"",L14/L13)</f>
        <v/>
      </c>
      <c r="M23" s="9">
        <f>IF(OR(M13="",M13=0),"",M14/M13)</f>
        <v/>
      </c>
      <c r="N23" s="9">
        <f>IF(OR(N13="",N13=0),"",N14/N13)</f>
        <v/>
      </c>
    </row>
    <row r="24">
      <c r="A24" s="8" t="inlineStr">
        <is>
          <t>Walkthrough → proposal</t>
        </is>
      </c>
      <c r="B24" s="9">
        <f>IF(OR(B14="",B14=0),"",B15/B14)</f>
        <v/>
      </c>
      <c r="C24" s="9">
        <f>IF(OR(C14="",C14=0),"",C15/C14)</f>
        <v/>
      </c>
      <c r="D24" s="9">
        <f>IF(OR(D14="",D14=0),"",D15/D14)</f>
        <v/>
      </c>
      <c r="E24" s="9">
        <f>IF(OR(E14="",E14=0),"",E15/E14)</f>
        <v/>
      </c>
      <c r="F24" s="9">
        <f>IF(OR(F14="",F14=0),"",F15/F14)</f>
        <v/>
      </c>
      <c r="G24" s="9">
        <f>IF(OR(G14="",G14=0),"",G15/G14)</f>
        <v/>
      </c>
      <c r="H24" s="9">
        <f>IF(OR(H14="",H14=0),"",H15/H14)</f>
        <v/>
      </c>
      <c r="I24" s="9">
        <f>IF(OR(I14="",I14=0),"",I15/I14)</f>
        <v/>
      </c>
      <c r="J24" s="9">
        <f>IF(OR(J14="",J14=0),"",J15/J14)</f>
        <v/>
      </c>
      <c r="K24" s="9">
        <f>IF(OR(K14="",K14=0),"",K15/K14)</f>
        <v/>
      </c>
      <c r="L24" s="9">
        <f>IF(OR(L14="",L14=0),"",L15/L14)</f>
        <v/>
      </c>
      <c r="M24" s="9">
        <f>IF(OR(M14="",M14=0),"",M15/M14)</f>
        <v/>
      </c>
      <c r="N24" s="9">
        <f>IF(OR(N14="",N14=0),"",N15/N14)</f>
        <v/>
      </c>
    </row>
    <row r="25">
      <c r="A25" s="8" t="inlineStr">
        <is>
          <t>Proposal → win</t>
        </is>
      </c>
      <c r="B25" s="9">
        <f>IF(OR(B15="",B15=0),"",B16/B15)</f>
        <v/>
      </c>
      <c r="C25" s="9">
        <f>IF(OR(C15="",C15=0),"",C16/C15)</f>
        <v/>
      </c>
      <c r="D25" s="9">
        <f>IF(OR(D15="",D15=0),"",D16/D15)</f>
        <v/>
      </c>
      <c r="E25" s="9">
        <f>IF(OR(E15="",E15=0),"",E16/E15)</f>
        <v/>
      </c>
      <c r="F25" s="9">
        <f>IF(OR(F15="",F15=0),"",F16/F15)</f>
        <v/>
      </c>
      <c r="G25" s="9">
        <f>IF(OR(G15="",G15=0),"",G16/G15)</f>
        <v/>
      </c>
      <c r="H25" s="9">
        <f>IF(OR(H15="",H15=0),"",H16/H15)</f>
        <v/>
      </c>
      <c r="I25" s="9">
        <f>IF(OR(I15="",I15=0),"",I16/I15)</f>
        <v/>
      </c>
      <c r="J25" s="9">
        <f>IF(OR(J15="",J15=0),"",J16/J15)</f>
        <v/>
      </c>
      <c r="K25" s="9">
        <f>IF(OR(K15="",K15=0),"",K16/K15)</f>
        <v/>
      </c>
      <c r="L25" s="9">
        <f>IF(OR(L15="",L15=0),"",L16/L15)</f>
        <v/>
      </c>
      <c r="M25" s="9">
        <f>IF(OR(M15="",M15=0),"",M16/M15)</f>
        <v/>
      </c>
      <c r="N25" s="9">
        <f>IF(OR(N15="",N15=0),"",N16/N15)</f>
        <v/>
      </c>
    </row>
    <row r="26">
      <c r="A26" s="8" t="inlineStr">
        <is>
          <t>Outreach per win</t>
        </is>
      </c>
      <c r="B26" s="10">
        <f>IF(OR(B16="",B16=0),"",B9/B16)</f>
        <v/>
      </c>
      <c r="C26" s="10">
        <f>IF(OR(C16="",C16=0),"",C9/C16)</f>
        <v/>
      </c>
      <c r="D26" s="10">
        <f>IF(OR(D16="",D16=0),"",D9/D16)</f>
        <v/>
      </c>
      <c r="E26" s="10">
        <f>IF(OR(E16="",E16=0),"",E9/E16)</f>
        <v/>
      </c>
      <c r="F26" s="10">
        <f>IF(OR(F16="",F16=0),"",F9/F16)</f>
        <v/>
      </c>
      <c r="G26" s="10">
        <f>IF(OR(G16="",G16=0),"",G9/G16)</f>
        <v/>
      </c>
      <c r="H26" s="10">
        <f>IF(OR(H16="",H16=0),"",H9/H16)</f>
        <v/>
      </c>
      <c r="I26" s="10">
        <f>IF(OR(I16="",I16=0),"",I9/I16)</f>
        <v/>
      </c>
      <c r="J26" s="10">
        <f>IF(OR(J16="",J16=0),"",J9/J16)</f>
        <v/>
      </c>
      <c r="K26" s="10">
        <f>IF(OR(K16="",K16=0),"",K9/K16)</f>
        <v/>
      </c>
      <c r="L26" s="10">
        <f>IF(OR(L16="",L16=0),"",L9/L16)</f>
        <v/>
      </c>
      <c r="M26" s="10">
        <f>IF(OR(M16="",M16=0),"",M9/M16)</f>
        <v/>
      </c>
      <c r="N26" s="10">
        <f>IF(OR(N16="",N16=0),"",N9/N16)</f>
        <v/>
      </c>
    </row>
    <row r="27">
      <c r="A27" s="8" t="inlineStr">
        <is>
          <t>Avg. monthly value per win</t>
        </is>
      </c>
      <c r="B27" s="7">
        <f>IF(OR(B16="",B16=0),"",B17/B16)</f>
        <v/>
      </c>
      <c r="C27" s="7">
        <f>IF(OR(C16="",C16=0),"",C17/C16)</f>
        <v/>
      </c>
      <c r="D27" s="7">
        <f>IF(OR(D16="",D16=0),"",D17/D16)</f>
        <v/>
      </c>
      <c r="E27" s="7">
        <f>IF(OR(E16="",E16=0),"",E17/E16)</f>
        <v/>
      </c>
      <c r="F27" s="7">
        <f>IF(OR(F16="",F16=0),"",F17/F16)</f>
        <v/>
      </c>
      <c r="G27" s="7">
        <f>IF(OR(G16="",G16=0),"",G17/G16)</f>
        <v/>
      </c>
      <c r="H27" s="7">
        <f>IF(OR(H16="",H16=0),"",H17/H16)</f>
        <v/>
      </c>
      <c r="I27" s="7">
        <f>IF(OR(I16="",I16=0),"",I17/I16)</f>
        <v/>
      </c>
      <c r="J27" s="7">
        <f>IF(OR(J16="",J16=0),"",J17/J16)</f>
        <v/>
      </c>
      <c r="K27" s="7">
        <f>IF(OR(K16="",K16=0),"",K17/K16)</f>
        <v/>
      </c>
      <c r="L27" s="7">
        <f>IF(OR(L16="",L16=0),"",L17/L16)</f>
        <v/>
      </c>
      <c r="M27" s="7">
        <f>IF(OR(M16="",M16=0),"",M17/M16)</f>
        <v/>
      </c>
      <c r="N27" s="7">
        <f>IF(OR(N16="",N16=0),"",N17/N16)</f>
        <v/>
      </c>
    </row>
    <row r="29">
      <c r="A29" s="3" t="inlineStr">
        <is>
          <t>4-week rolling</t>
        </is>
      </c>
    </row>
    <row r="30">
      <c r="A30" s="6" t="inlineStr">
        <is>
          <t>Outreach sent (last 4 wks)</t>
        </is>
      </c>
      <c r="B30" s="11">
        <f>SUM(K9:N9)</f>
        <v/>
      </c>
    </row>
    <row r="31">
      <c r="A31" s="6" t="inlineStr">
        <is>
          <t>Positive replies (last 4 wks)</t>
        </is>
      </c>
      <c r="B31" s="11">
        <f>SUM(K12:N12)</f>
        <v/>
      </c>
    </row>
    <row r="32">
      <c r="A32" s="6" t="inlineStr">
        <is>
          <t>Positive reply rate (last 4 wks)</t>
        </is>
      </c>
      <c r="B32" s="12">
        <f>IF(SUM(K9:N9)=0,"",SUM(K12:N12)/SUM(K9:N9))</f>
        <v/>
      </c>
    </row>
    <row r="33">
      <c r="A33" s="6" t="inlineStr">
        <is>
          <t>Walkthroughs (last 4 wks)</t>
        </is>
      </c>
      <c r="B33" s="11">
        <f>SUM(K14:N14)</f>
        <v/>
      </c>
    </row>
    <row r="34">
      <c r="A34" s="6" t="inlineStr">
        <is>
          <t>Wins (last 4 wks)</t>
        </is>
      </c>
      <c r="B34" s="11">
        <f>SUM(K16:N16)</f>
        <v/>
      </c>
    </row>
    <row r="35">
      <c r="A35" s="6" t="inlineStr">
        <is>
          <t>Recurring revenue won (last 4 wks)</t>
        </is>
      </c>
      <c r="B35" s="13">
        <f>SUM(K17:N17)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1">
      <c r="A1" s="1" t="inlineStr">
        <is>
          <t>How to read it</t>
        </is>
      </c>
    </row>
    <row r="3">
      <c r="B3" s="14" t="inlineStr">
        <is>
          <t>The two numbers that matter most</t>
        </is>
      </c>
    </row>
    <row r="4">
      <c r="B4" s="15" t="inlineStr">
        <is>
          <t>Positive reply rate, and conversation → walkthrough.</t>
        </is>
      </c>
    </row>
    <row r="5">
      <c r="B5" s="15" t="inlineStr"/>
    </row>
    <row r="6">
      <c r="B6" s="15" t="inlineStr">
        <is>
          <t>The first tells you whether your targeting and triggers are right. If it's low, sending more</t>
        </is>
      </c>
    </row>
    <row r="7">
      <c r="B7" s="15" t="inlineStr">
        <is>
          <t>won't help. Go back to which accounts you chose and whether the trigger was real and recent.</t>
        </is>
      </c>
    </row>
    <row r="8">
      <c r="B8" s="15" t="inlineStr">
        <is>
          <t>The second tells you whether your conversations are any good. If people reply and then nothing</t>
        </is>
      </c>
    </row>
    <row r="9">
      <c r="B9" s="15" t="inlineStr">
        <is>
          <t>happens, the problem is the call, not the list.</t>
        </is>
      </c>
    </row>
    <row r="10">
      <c r="B10" s="15" t="inlineStr"/>
    </row>
    <row r="11">
      <c r="B11" s="14" t="inlineStr">
        <is>
          <t>Your baseline is the only benchmark worth using</t>
        </is>
      </c>
    </row>
    <row r="12">
      <c r="B12" s="15" t="inlineStr">
        <is>
          <t>You'll find published figures for reply rates. Most are produced by companies selling outreach</t>
        </is>
      </c>
    </row>
    <row r="13">
      <c r="B13" s="15" t="inlineStr">
        <is>
          <t>software, they vary enormously between sources, and none of them measured your city, your</t>
        </is>
      </c>
    </row>
    <row r="14">
      <c r="B14" s="15" t="inlineStr">
        <is>
          <t>segment, or your list. Compare each week to your own previous weeks. After four weeks you'll</t>
        </is>
      </c>
    </row>
    <row r="15">
      <c r="B15" s="15" t="inlineStr">
        <is>
          <t>have something real.</t>
        </is>
      </c>
    </row>
    <row r="16">
      <c r="B16" s="15" t="inlineStr"/>
    </row>
    <row r="17">
      <c r="B17" s="14" t="inlineStr">
        <is>
          <t>Don't read anything into small numbers</t>
        </is>
      </c>
    </row>
    <row r="18">
      <c r="B18" s="15" t="inlineStr">
        <is>
          <t>Under about ten events, you're looking at noise. Two positive replies out of fifty is not a</t>
        </is>
      </c>
    </row>
    <row r="19">
      <c r="B19" s="15" t="inlineStr">
        <is>
          <t>2% reply rate you can plan with — it's two replies. Give it four weeks before you conclude</t>
        </is>
      </c>
    </row>
    <row r="20">
      <c r="B20" s="15" t="inlineStr">
        <is>
          <t>anything, and look at the 4-week rolling block rather than a single column.</t>
        </is>
      </c>
    </row>
    <row r="21">
      <c r="B21" s="15" t="inlineStr"/>
    </row>
    <row r="22">
      <c r="B22" s="14" t="inlineStr">
        <is>
          <t>Change one thing at a time</t>
        </is>
      </c>
    </row>
    <row r="23">
      <c r="B23" s="15" t="inlineStr">
        <is>
          <t>If a number moves and you changed the segment, the subject line and the send day, you've</t>
        </is>
      </c>
    </row>
    <row r="24">
      <c r="B24" s="15" t="inlineStr">
        <is>
          <t>learned nothing. Change one, give it two weeks, then change the next.</t>
        </is>
      </c>
    </row>
    <row r="25">
      <c r="B25" s="15" t="inlineStr"/>
    </row>
    <row r="26">
      <c r="B26" s="14" t="inlineStr">
        <is>
          <t>What each ratio usually means when it's weak</t>
        </is>
      </c>
    </row>
    <row r="27">
      <c r="B27" s="15" t="inlineStr">
        <is>
          <t>Reply rate low → wrong accounts, stale triggers, or you're landing in spam. Check bounces first.</t>
        </is>
      </c>
    </row>
    <row r="28">
      <c r="B28" s="15" t="inlineStr">
        <is>
          <t>Positive rate low but replies fine → the offer or the relevance is off, not the deliverability.</t>
        </is>
      </c>
    </row>
    <row r="29">
      <c r="B29" s="15" t="inlineStr">
        <is>
          <t>Positive → conversation low → you're slow. Same-day replies matter more than anything here.</t>
        </is>
      </c>
    </row>
    <row r="30">
      <c r="B30" s="15" t="inlineStr">
        <is>
          <t>Conversation → walkthrough low → you're pitching instead of asking. Get on site.</t>
        </is>
      </c>
    </row>
    <row r="31">
      <c r="B31" s="15" t="inlineStr">
        <is>
          <t>Walkthrough → proposal low → not necessarily bad. No-bidding a poor fit is a good decision.</t>
        </is>
      </c>
    </row>
    <row r="32">
      <c r="B32" s="15" t="inlineStr">
        <is>
          <t>Proposal → win low → price, or the proposal isn't answering the question they actually had.</t>
        </is>
      </c>
    </row>
    <row r="33">
      <c r="B33" s="15" t="inlineStr"/>
    </row>
    <row r="34">
      <c r="B34" s="14" t="inlineStr">
        <is>
          <t>Outreach per win</t>
        </is>
      </c>
    </row>
    <row r="35">
      <c r="B35" s="15" t="inlineStr">
        <is>
          <t>The most useful single number once you have four or five wins. It tells you what a contract</t>
        </is>
      </c>
    </row>
    <row r="36">
      <c r="B36" s="15" t="inlineStr">
        <is>
          <t>costs you in effort, and it's the number to improve. Better targeting moves it faster than</t>
        </is>
      </c>
    </row>
    <row r="37">
      <c r="B37" s="15" t="inlineStr">
        <is>
          <t>more volume does.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52" customWidth="1" min="2" max="2"/>
    <col width="46" customWidth="1" min="3" max="3"/>
  </cols>
  <sheetData>
    <row r="1">
      <c r="A1" s="1" t="inlineStr">
        <is>
          <t>Definitions</t>
        </is>
      </c>
    </row>
    <row r="2">
      <c r="A2" s="2" t="inlineStr">
        <is>
          <t>Count it the same way every week, or the trend means nothing.</t>
        </is>
      </c>
    </row>
    <row r="4">
      <c r="A4" s="16" t="inlineStr">
        <is>
          <t>Metric</t>
        </is>
      </c>
      <c r="B4" s="16" t="inlineStr">
        <is>
          <t>Count it as</t>
        </is>
      </c>
      <c r="C4" s="16" t="inlineStr">
        <is>
          <t>Do not count</t>
        </is>
      </c>
    </row>
    <row r="5" ht="30" customHeight="1">
      <c r="A5" s="17" t="inlineStr">
        <is>
          <t>Qualified accounts added</t>
        </is>
      </c>
      <c r="B5" s="17" t="inlineStr">
        <is>
          <t>Accounts scoring 8+ that you added this week</t>
        </is>
      </c>
      <c r="C5" s="17" t="inlineStr">
        <is>
          <t>Anything still unscored</t>
        </is>
      </c>
    </row>
    <row r="6" ht="30" customHeight="1">
      <c r="A6" s="17" t="inlineStr">
        <is>
          <t>Verified decision makers</t>
        </is>
      </c>
      <c r="B6" s="17" t="inlineStr">
        <is>
          <t>A named person, right role, email confirmed deliverable</t>
        </is>
      </c>
      <c r="C6" s="17" t="inlineStr">
        <is>
          <t>A generic inbox, or a guessed address</t>
        </is>
      </c>
    </row>
    <row r="7" ht="30" customHeight="1">
      <c r="A7" s="17" t="inlineStr">
        <is>
          <t>Trigger-qualified accounts</t>
        </is>
      </c>
      <c r="B7" s="17" t="inlineStr">
        <is>
          <t>Accounts with a trigger that has a source and a date, still inside its window</t>
        </is>
      </c>
      <c r="C7" s="17" t="inlineStr">
        <is>
          <t>Accounts where you think something changed</t>
        </is>
      </c>
    </row>
    <row r="8" ht="30" customHeight="1">
      <c r="A8" s="17" t="inlineStr">
        <is>
          <t>Outreach sent</t>
        </is>
      </c>
      <c r="B8" s="17" t="inlineStr">
        <is>
          <t>First-touch emails or calls to a new account</t>
        </is>
      </c>
      <c r="C8" s="17" t="inlineStr">
        <is>
          <t>Follow-ups — those have their own row</t>
        </is>
      </c>
    </row>
    <row r="9" ht="30" customHeight="1">
      <c r="A9" s="17" t="inlineStr">
        <is>
          <t>Follow-ups sent</t>
        </is>
      </c>
      <c r="B9" s="17" t="inlineStr">
        <is>
          <t>Second and later touches to the same account</t>
        </is>
      </c>
      <c r="C9" s="17" t="inlineStr"/>
    </row>
    <row r="10" ht="30" customHeight="1">
      <c r="A10" s="17" t="inlineStr">
        <is>
          <t>Replies</t>
        </is>
      </c>
      <c r="B10" s="17" t="inlineStr">
        <is>
          <t>Any human reply</t>
        </is>
      </c>
      <c r="C10" s="17" t="inlineStr">
        <is>
          <t>Out-of-office, bounces, autoresponders</t>
        </is>
      </c>
    </row>
    <row r="11" ht="30" customHeight="1">
      <c r="A11" s="17" t="inlineStr">
        <is>
          <t>Positive replies</t>
        </is>
      </c>
      <c r="B11" s="17" t="inlineStr">
        <is>
          <t>They asked a question, asked for a price, or agreed to talk</t>
        </is>
      </c>
      <c r="C11" s="17" t="inlineStr">
        <is>
          <t>'Not interested', 'we're covered', 'wrong person'</t>
        </is>
      </c>
    </row>
    <row r="12" ht="30" customHeight="1">
      <c r="A12" s="17" t="inlineStr">
        <is>
          <t>Conversations</t>
        </is>
      </c>
      <c r="B12" s="17" t="inlineStr">
        <is>
          <t>A real two-way exchange — a call, or a back-and-forth thread</t>
        </is>
      </c>
      <c r="C12" s="17" t="inlineStr">
        <is>
          <t>A single positive reply you haven't answered yet</t>
        </is>
      </c>
    </row>
    <row r="13" ht="30" customHeight="1">
      <c r="A13" s="17" t="inlineStr">
        <is>
          <t>Walkthroughs</t>
        </is>
      </c>
      <c r="B13" s="17" t="inlineStr">
        <is>
          <t>You were on site</t>
        </is>
      </c>
      <c r="C13" s="17" t="inlineStr">
        <is>
          <t>A booked walkthrough that hasn't happened</t>
        </is>
      </c>
    </row>
    <row r="14" ht="30" customHeight="1">
      <c r="A14" s="17" t="inlineStr">
        <is>
          <t>Proposals sent</t>
        </is>
      </c>
      <c r="B14" s="17" t="inlineStr">
        <is>
          <t>A written proposal with a price</t>
        </is>
      </c>
      <c r="C14" s="17" t="inlineStr">
        <is>
          <t>A verbal number over the phone</t>
        </is>
      </c>
    </row>
    <row r="15" ht="30" customHeight="1">
      <c r="A15" s="17" t="inlineStr">
        <is>
          <t>Wins</t>
        </is>
      </c>
      <c r="B15" s="17" t="inlineStr">
        <is>
          <t>Signed, with a start date</t>
        </is>
      </c>
      <c r="C15" s="17" t="inlineStr">
        <is>
          <t>A verbal yes</t>
        </is>
      </c>
    </row>
    <row r="16" ht="30" customHeight="1">
      <c r="A16" s="17" t="inlineStr">
        <is>
          <t>New recurring revenue won ($/mo)</t>
        </is>
      </c>
      <c r="B16" s="17" t="inlineStr">
        <is>
          <t>Monthly contract value of what you signed this week</t>
        </is>
      </c>
      <c r="C16" s="17" t="inlineStr">
        <is>
          <t>One-off jobs — track those separately</t>
        </is>
      </c>
    </row>
    <row r="19">
      <c r="A19" s="14" t="inlineStr">
        <is>
          <t>The one that people count wrong</t>
        </is>
      </c>
    </row>
    <row r="20">
      <c r="A20" s="15" t="inlineStr">
        <is>
          <t>Positive replies. It is tempting to count 'we already have a cleaner, but thanks' as positive</t>
        </is>
      </c>
    </row>
    <row r="21">
      <c r="A21" s="15" t="inlineStr">
        <is>
          <t>because it was polite. It isn't. It's a not-now, and it belongs in your nurture list with a date.</t>
        </is>
      </c>
    </row>
    <row r="22">
      <c r="A22" s="15" t="inlineStr">
        <is>
          <t>Counting it as positive will make your numbers look fine while nothing moves.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2026-09-11T04:08:53Z</dcterms:created>
  <dcterms:modified xsi:type="dcterms:W3CDTF">2026-09-11T04:08:53Z</dcterms:modified>
</cp:coreProperties>
</file>