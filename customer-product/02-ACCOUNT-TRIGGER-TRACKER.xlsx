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ick Start" sheetId="1" state="visible" r:id="rId1"/>
    <sheet name="Lists" sheetId="2" state="hidden" r:id="rId2"/>
    <sheet name="Account Tracker" sheetId="3" state="visible" r:id="rId3"/>
    <sheet name="Contact Tracker" sheetId="4" state="visible" r:id="rId4"/>
    <sheet name="Trigger Tracker" sheetId="5" state="visible" r:id="rId5"/>
    <sheet name="Campaign Tracker" sheetId="6" state="visible" r:id="rId6"/>
    <sheet name="Follow-up Tracker" sheetId="7" state="visible" r:id="rId7"/>
    <sheet name="Pipeline" sheetId="8" state="visible" r:id="rId8"/>
    <sheet name="Weekly Metrics" sheetId="9" state="visible" r:id="rId9"/>
    <sheet name="Trigger Library" sheetId="10" state="visible" r:id="rId10"/>
    <sheet name="Outreach Templates" sheetId="11" state="visible" r:id="rId11"/>
    <sheet name="Instructions" sheetId="12" state="visible" r:id="rId12"/>
  </sheets>
  <definedNames>
    <definedName name="_xlnm._FilterDatabase" localSheetId="2" hidden="1">'Account Tracker'!$A$3:$Y$403</definedName>
    <definedName name="_xlnm._FilterDatabase" localSheetId="3" hidden="1">'Contact Tracker'!$A$3:$P$303</definedName>
    <definedName name="_xlnm._FilterDatabase" localSheetId="4" hidden="1">'Trigger Tracker'!$A$3:$L$303</definedName>
    <definedName name="_xlnm._FilterDatabase" localSheetId="5" hidden="1">'Campaign Tracker'!$A$3:$M$103</definedName>
    <definedName name="_xlnm._FilterDatabase" localSheetId="6" hidden="1">'Follow-up Tracker'!$A$3:$K$503</definedName>
  </definedNames>
  <calcPr calcId="124519" fullCalcOnLoad="1"/>
</workbook>
</file>

<file path=xl/styles.xml><?xml version="1.0" encoding="utf-8"?>
<styleSheet xmlns="http://schemas.openxmlformats.org/spreadsheetml/2006/main">
  <numFmts count="3">
    <numFmt numFmtId="164" formatCode="0.0%"/>
    <numFmt numFmtId="165" formatCode="&quot;$&quot;#,##0"/>
    <numFmt numFmtId="166" formatCode="dd mmm"/>
  </numFmts>
  <fonts count="8">
    <font>
      <name val="Calibri"/>
      <family val="2"/>
      <color theme="1"/>
      <sz val="11"/>
      <scheme val="minor"/>
    </font>
    <font>
      <name val="Calibri"/>
      <b val="1"/>
      <color rgb="FF0E5257"/>
      <sz val="18"/>
    </font>
    <font>
      <name val="Calibri"/>
      <i val="1"/>
      <color rgb="FF6E7E7C"/>
      <sz val="9"/>
    </font>
    <font>
      <name val="Calibri"/>
      <color rgb="FF0F1516"/>
      <sz val="10"/>
    </font>
    <font>
      <name val="Calibri"/>
      <b val="1"/>
      <color rgb="FF0F1516"/>
      <sz val="11"/>
    </font>
    <font>
      <b val="1"/>
      <color rgb="FF0E5257"/>
      <sz val="10"/>
    </font>
    <font>
      <name val="Calibri"/>
      <b val="1"/>
      <color rgb="FFFFFFFF"/>
      <sz val="10"/>
    </font>
    <font>
      <b val="1"/>
      <sz val="10"/>
    </font>
  </fonts>
  <fills count="4">
    <fill>
      <patternFill/>
    </fill>
    <fill>
      <patternFill patternType="gray125"/>
    </fill>
    <fill>
      <patternFill patternType="solid">
        <fgColor rgb="FF0E5257"/>
      </patternFill>
    </fill>
    <fill>
      <patternFill patternType="solid">
        <fgColor rgb="FFDCEAEA"/>
      </patternFill>
    </fill>
  </fills>
  <borders count="2">
    <border>
      <left/>
      <right/>
      <top/>
      <bottom/>
      <diagonal/>
    </border>
    <border>
      <left style="thin">
        <color rgb="FFD6DEDC"/>
      </left>
      <right style="thin">
        <color rgb="FFD6DEDC"/>
      </right>
      <top style="thin">
        <color rgb="FFD6DEDC"/>
      </top>
      <bottom style="thin">
        <color rgb="FFD6DEDC"/>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left" vertical="center" wrapText="1"/>
    </xf>
    <xf numFmtId="0" fontId="3" fillId="0" borderId="1" applyAlignment="1" pivotButton="0" quotePrefix="0" xfId="0">
      <alignment vertical="top" wrapText="1"/>
    </xf>
    <xf numFmtId="0" fontId="7" fillId="0" borderId="1" applyAlignment="1" pivotButton="0" quotePrefix="0" xfId="0">
      <alignment vertical="top" wrapText="1"/>
    </xf>
    <xf numFmtId="0" fontId="0" fillId="0" borderId="1" applyAlignment="1" pivotButton="0" quotePrefix="0" xfId="0">
      <alignment vertical="top" wrapText="1"/>
    </xf>
    <xf numFmtId="164" fontId="3" fillId="0" borderId="1" applyAlignment="1" pivotButton="0" quotePrefix="0" xfId="0">
      <alignment vertical="top" wrapText="1"/>
    </xf>
    <xf numFmtId="164" fontId="0" fillId="0" borderId="1" applyAlignment="1" pivotButton="0" quotePrefix="0" xfId="0">
      <alignment vertical="top" wrapText="1"/>
    </xf>
    <xf numFmtId="0" fontId="3" fillId="0" borderId="1" pivotButton="0" quotePrefix="0" xfId="0"/>
    <xf numFmtId="165" fontId="0" fillId="0" borderId="1" pivotButton="0" quotePrefix="0" xfId="0"/>
    <xf numFmtId="165" fontId="4" fillId="0" borderId="0" pivotButton="0" quotePrefix="0" xfId="0"/>
    <xf numFmtId="0" fontId="4" fillId="3" borderId="1" pivotButton="0" quotePrefix="0" xfId="0"/>
    <xf numFmtId="166" fontId="4" fillId="3" borderId="1" pivotButton="0" quotePrefix="0" xfId="0"/>
    <xf numFmtId="0" fontId="0" fillId="0" borderId="1" pivotButton="0" quotePrefix="0" xfId="0"/>
    <xf numFmtId="0" fontId="3" fillId="3" borderId="1" pivotButton="0" quotePrefix="0" xfId="0"/>
    <xf numFmtId="164" fontId="3" fillId="0" borderId="1" pivotButton="0" quotePrefix="0" xfId="0"/>
  </cellXfs>
  <cellStyles count="1">
    <cellStyle name="Normal" xfId="0" builtinId="0" hidden="0"/>
  </cellStyles>
  <dxfs count="3">
    <dxf>
      <fill>
        <patternFill patternType="solid">
          <fgColor rgb="FFE2EFE7"/>
        </patternFill>
      </fill>
    </dxf>
    <dxf>
      <fill>
        <patternFill patternType="solid">
          <fgColor rgb="FFF7DDDD"/>
        </patternFill>
      </fill>
    </dxf>
    <dxf>
      <fill>
        <patternFill patternType="solid">
          <fgColor rgb="FFF6E7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E5257"/>
    <outlinePr summaryBelow="1" summaryRight="1"/>
    <pageSetUpPr/>
  </sheetPr>
  <dimension ref="A1:B40"/>
  <sheetViews>
    <sheetView showGridLines="0" workbookViewId="0">
      <selection activeCell="A1" sqref="A1"/>
    </sheetView>
  </sheetViews>
  <sheetFormatPr baseColWidth="8" defaultRowHeight="15"/>
  <cols>
    <col width="3" customWidth="1" min="1" max="1"/>
    <col width="88" customWidth="1" min="2" max="2"/>
  </cols>
  <sheetData>
    <row r="1">
      <c r="A1" s="1" t="inlineStr">
        <is>
          <t>Account &amp; Trigger Tracker</t>
        </is>
      </c>
    </row>
    <row r="2">
      <c r="B2" s="2" t="inlineStr">
        <is>
          <t>Part of the Commercial Cleaning Client Acquisition OS</t>
        </is>
      </c>
    </row>
    <row r="4">
      <c r="B4" s="3" t="inlineStr"/>
    </row>
    <row r="5">
      <c r="B5" s="4" t="inlineStr">
        <is>
          <t>What this is</t>
        </is>
      </c>
    </row>
    <row r="6">
      <c r="B6" s="3" t="inlineStr">
        <is>
          <t>A working tracker for finding commercial accounts worth pursuing, the person who signs, and the</t>
        </is>
      </c>
    </row>
    <row r="7">
      <c r="B7" s="3" t="inlineStr">
        <is>
          <t>reason to contact them now. It replaces the notebook, the sticky notes and the three spreadsheets.</t>
        </is>
      </c>
    </row>
    <row r="8">
      <c r="B8" s="3" t="inlineStr"/>
    </row>
    <row r="9">
      <c r="B9" s="4" t="inlineStr">
        <is>
          <t>Start here — about 30 minutes</t>
        </is>
      </c>
    </row>
    <row r="10">
      <c r="A10" s="5" t="inlineStr">
        <is>
          <t>1</t>
        </is>
      </c>
      <c r="B10" s="3" t="inlineStr">
        <is>
          <t>Open the Trigger Library tab. Read it once. It is the eleven public signals worth acting on.</t>
        </is>
      </c>
    </row>
    <row r="11">
      <c r="A11" s="5" t="inlineStr">
        <is>
          <t>2</t>
        </is>
      </c>
      <c r="B11" s="3" t="inlineStr">
        <is>
          <t>Open Account Tracker. Delete the four example rows (they are marked). Add ten real accounts</t>
        </is>
      </c>
    </row>
    <row r="12">
      <c r="B12" s="3" t="inlineStr">
        <is>
          <t xml:space="preserve">    from your own city. Ten is enough to learn the system.</t>
        </is>
      </c>
    </row>
    <row r="13">
      <c r="A13" s="5" t="inlineStr">
        <is>
          <t>3</t>
        </is>
      </c>
      <c r="B13" s="3" t="inlineStr">
        <is>
          <t>Score each one. The four score columns are dropdowns; Total and Band calculate themselves.</t>
        </is>
      </c>
    </row>
    <row r="14">
      <c r="A14" s="5" t="inlineStr">
        <is>
          <t>4</t>
        </is>
      </c>
      <c r="B14" s="3" t="inlineStr">
        <is>
          <t>Work anything scoring 16+ first. Below 8, stop — it will cost more than it returns.</t>
        </is>
      </c>
    </row>
    <row r="15">
      <c r="A15" s="5" t="inlineStr">
        <is>
          <t>5</t>
        </is>
      </c>
      <c r="B15" s="3" t="inlineStr">
        <is>
          <t>For each account you keep, add the person who signs in Contact Tracker.</t>
        </is>
      </c>
    </row>
    <row r="16">
      <c r="A16" s="5" t="inlineStr">
        <is>
          <t>6</t>
        </is>
      </c>
      <c r="B16" s="3" t="inlineStr">
        <is>
          <t>Find the trigger. Log it in Trigger Tracker with a date and where you found it.</t>
        </is>
      </c>
    </row>
    <row r="17">
      <c r="A17" s="5" t="inlineStr">
        <is>
          <t>7</t>
        </is>
      </c>
      <c r="B17" s="3" t="inlineStr">
        <is>
          <t>Pick the matching template in Outreach Templates. Send it.</t>
        </is>
      </c>
    </row>
    <row r="18">
      <c r="A18" s="5" t="inlineStr">
        <is>
          <t>8</t>
        </is>
      </c>
      <c r="B18" s="3" t="inlineStr">
        <is>
          <t>Log the send in Follow-up Tracker so nothing goes quiet.</t>
        </is>
      </c>
    </row>
    <row r="19">
      <c r="B19" s="3" t="inlineStr"/>
    </row>
    <row r="20">
      <c r="B20" s="4" t="inlineStr">
        <is>
          <t>The one rule that matters</t>
        </is>
      </c>
    </row>
    <row r="21">
      <c r="B21" s="3" t="inlineStr">
        <is>
          <t>Every account you are actively working needs an owner, a next action, and a date.</t>
        </is>
      </c>
    </row>
    <row r="22">
      <c r="B22" s="3" t="inlineStr">
        <is>
          <t>No next action means it is not in your pipeline. It is a name on a list.</t>
        </is>
      </c>
    </row>
    <row r="23">
      <c r="B23" s="3" t="inlineStr"/>
    </row>
    <row r="24">
      <c r="B24" s="4" t="inlineStr">
        <is>
          <t>The tabs</t>
        </is>
      </c>
    </row>
    <row r="25">
      <c r="B25" s="3" t="inlineStr">
        <is>
          <t>Quick Start — this page</t>
        </is>
      </c>
    </row>
    <row r="26">
      <c r="B26" s="3" t="inlineStr">
        <is>
          <t>Instructions — how each tab works, in detail</t>
        </is>
      </c>
    </row>
    <row r="27">
      <c r="B27" s="3" t="inlineStr">
        <is>
          <t>Account Tracker — the main sheet. One row per building</t>
        </is>
      </c>
    </row>
    <row r="28">
      <c r="B28" s="3" t="inlineStr">
        <is>
          <t>Contact Tracker — one row per person</t>
        </is>
      </c>
    </row>
    <row r="29">
      <c r="B29" s="3" t="inlineStr">
        <is>
          <t>Trigger Tracker — the dated reason you are contacting each account</t>
        </is>
      </c>
    </row>
    <row r="30">
      <c r="B30" s="3" t="inlineStr">
        <is>
          <t>Campaign Tracker — which outreach batch went to whom</t>
        </is>
      </c>
    </row>
    <row r="31">
      <c r="B31" s="3" t="inlineStr">
        <is>
          <t>Follow-up Tracker — every touch, so nothing is missed or repeated</t>
        </is>
      </c>
    </row>
    <row r="32">
      <c r="B32" s="3" t="inlineStr">
        <is>
          <t>Pipeline — a live view of where everything stands</t>
        </is>
      </c>
    </row>
    <row r="33">
      <c r="B33" s="3" t="inlineStr">
        <is>
          <t>Weekly Metrics — what to enter each Friday, and what it tells you</t>
        </is>
      </c>
    </row>
    <row r="34">
      <c r="B34" s="3" t="inlineStr">
        <is>
          <t>Trigger Library — the eleven signals, where to find them, what you may say</t>
        </is>
      </c>
    </row>
    <row r="35">
      <c r="B35" s="3" t="inlineStr">
        <is>
          <t>Outreach Templates — six sequences, ready to adapt</t>
        </is>
      </c>
    </row>
    <row r="36">
      <c r="B36" s="3" t="inlineStr"/>
    </row>
    <row r="37">
      <c r="B37" s="4" t="inlineStr">
        <is>
          <t>One thing this tracker will not do</t>
        </is>
      </c>
    </row>
    <row r="38">
      <c r="B38" s="3" t="inlineStr">
        <is>
          <t>It will not tell you a prospect is unhappy with their cleaner, or that they have no cleaner.</t>
        </is>
      </c>
    </row>
    <row r="39">
      <c r="B39" s="3" t="inlineStr">
        <is>
          <t>You cannot know that from the outside. Log the event you observed and its date. Nothing more.</t>
        </is>
      </c>
    </row>
    <row r="40">
      <c r="B40" s="3" t="inlineStr">
        <is>
          <t>Everything else is a guess, and buyers can tell.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Property Management</t>
        </is>
      </c>
      <c r="B1" t="inlineStr">
        <is>
          <t>Target</t>
        </is>
      </c>
      <c r="C1" t="inlineStr">
        <is>
          <t>0</t>
        </is>
      </c>
      <c r="D1" t="inlineStr">
        <is>
          <t>0</t>
        </is>
      </c>
      <c r="E1" t="inlineStr">
        <is>
          <t>0</t>
        </is>
      </c>
      <c r="F1" t="inlineStr">
        <is>
          <t>Owner</t>
        </is>
      </c>
      <c r="G1" t="inlineStr">
        <is>
          <t>New location</t>
        </is>
      </c>
      <c r="H1" t="inlineStr">
        <is>
          <t>Verified</t>
        </is>
      </c>
      <c r="I1" t="inlineStr">
        <is>
          <t>Practice Manager</t>
        </is>
      </c>
      <c r="J1" t="inlineStr">
        <is>
          <t>Email</t>
        </is>
      </c>
      <c r="K1" t="inlineStr">
        <is>
          <t>Sent</t>
        </is>
      </c>
      <c r="L1" t="inlineStr">
        <is>
          <t>Price</t>
        </is>
      </c>
      <c r="M1" t="inlineStr">
        <is>
          <t>Not serviceable - area</t>
        </is>
      </c>
    </row>
    <row r="2">
      <c r="A2" t="inlineStr">
        <is>
          <t>Office / Professional</t>
        </is>
      </c>
      <c r="B2" t="inlineStr">
        <is>
          <t>Researching</t>
        </is>
      </c>
      <c r="C2" t="inlineStr">
        <is>
          <t>1</t>
        </is>
      </c>
      <c r="D2" t="inlineStr">
        <is>
          <t>1</t>
        </is>
      </c>
      <c r="E2" t="inlineStr">
        <is>
          <t>1</t>
        </is>
      </c>
      <c r="F2" t="inlineStr">
        <is>
          <t>Sales</t>
        </is>
      </c>
      <c r="G2" t="inlineStr">
        <is>
          <t>New facility / occupancy</t>
        </is>
      </c>
      <c r="H2" t="inlineStr">
        <is>
          <t>Pattern guess</t>
        </is>
      </c>
      <c r="I2" t="inlineStr">
        <is>
          <t>Office Manager</t>
        </is>
      </c>
      <c r="J2" t="inlineStr">
        <is>
          <t>Phone</t>
        </is>
      </c>
      <c r="K2" t="inlineStr">
        <is>
          <t>Replied - positive</t>
        </is>
      </c>
      <c r="L2" t="inlineStr">
        <is>
          <t>Incumbent retained</t>
        </is>
      </c>
      <c r="M2" t="inlineStr">
        <is>
          <t>Not serviceable - scope</t>
        </is>
      </c>
    </row>
    <row r="3">
      <c r="A3" t="inlineStr">
        <is>
          <t>Medical / Dental</t>
        </is>
      </c>
      <c r="B3" t="inlineStr">
        <is>
          <t>Contacted</t>
        </is>
      </c>
      <c r="C3" t="inlineStr">
        <is>
          <t>2</t>
        </is>
      </c>
      <c r="D3" t="inlineStr">
        <is>
          <t>2</t>
        </is>
      </c>
      <c r="E3" t="inlineStr">
        <is>
          <t>2</t>
        </is>
      </c>
      <c r="F3" t="inlineStr">
        <is>
          <t>Admin</t>
        </is>
      </c>
      <c r="G3" t="inlineStr">
        <is>
          <t>Move / relocation</t>
        </is>
      </c>
      <c r="H3" t="inlineStr">
        <is>
          <t>Unverified</t>
        </is>
      </c>
      <c r="I3" t="inlineStr">
        <is>
          <t>Facilities Manager</t>
        </is>
      </c>
      <c r="J3" t="inlineStr">
        <is>
          <t>In person</t>
        </is>
      </c>
      <c r="K3" t="inlineStr">
        <is>
          <t>Replied - not now</t>
        </is>
      </c>
      <c r="L3" t="inlineStr">
        <is>
          <t>Awarded competitor</t>
        </is>
      </c>
      <c r="M3" t="inlineStr">
        <is>
          <t>Too small</t>
        </is>
      </c>
    </row>
    <row r="4">
      <c r="A4" t="inlineStr">
        <is>
          <t>Industrial</t>
        </is>
      </c>
      <c r="B4" t="inlineStr">
        <is>
          <t>Follow-up</t>
        </is>
      </c>
      <c r="C4" t="inlineStr">
        <is>
          <t>3</t>
        </is>
      </c>
      <c r="D4" t="inlineStr">
        <is>
          <t>3</t>
        </is>
      </c>
      <c r="G4" t="inlineStr">
        <is>
          <t>Property management change</t>
        </is>
      </c>
      <c r="H4" t="inlineStr">
        <is>
          <t>Invalid</t>
        </is>
      </c>
      <c r="I4" t="inlineStr">
        <is>
          <t>Property Manager</t>
        </is>
      </c>
      <c r="J4" t="inlineStr">
        <is>
          <t>LinkedIn</t>
        </is>
      </c>
      <c r="K4" t="inlineStr">
        <is>
          <t>Replied - has provider</t>
        </is>
      </c>
      <c r="L4" t="inlineStr">
        <is>
          <t>No decision</t>
        </is>
      </c>
      <c r="M4" t="inlineStr">
        <is>
          <t>Chain decides centrally</t>
        </is>
      </c>
    </row>
    <row r="5">
      <c r="A5" t="inlineStr">
        <is>
          <t>Retail</t>
        </is>
      </c>
      <c r="B5" t="inlineStr">
        <is>
          <t>Conversation</t>
        </is>
      </c>
      <c r="C5" t="inlineStr">
        <is>
          <t>4</t>
        </is>
      </c>
      <c r="G5" t="inlineStr">
        <is>
          <t>Facilities or ops hiring</t>
        </is>
      </c>
      <c r="H5" t="inlineStr">
        <is>
          <t>Unknown</t>
        </is>
      </c>
      <c r="I5" t="inlineStr">
        <is>
          <t>Operations Manager</t>
        </is>
      </c>
      <c r="K5" t="inlineStr">
        <is>
          <t>Replied - wrong person</t>
        </is>
      </c>
      <c r="L5" t="inlineStr">
        <is>
          <t>Scope mismatch</t>
        </is>
      </c>
      <c r="M5" t="inlineStr">
        <is>
          <t>No reachable contact</t>
        </is>
      </c>
    </row>
    <row r="6">
      <c r="A6" t="inlineStr">
        <is>
          <t>School / Daycare</t>
        </is>
      </c>
      <c r="B6" t="inlineStr">
        <is>
          <t>Walkthrough Scheduled</t>
        </is>
      </c>
      <c r="C6" t="inlineStr">
        <is>
          <t>5</t>
        </is>
      </c>
      <c r="G6" t="inlineStr">
        <is>
          <t>Renovation / reopening</t>
        </is>
      </c>
      <c r="I6" t="inlineStr">
        <is>
          <t>General Manager</t>
        </is>
      </c>
      <c r="K6" t="inlineStr">
        <is>
          <t>Replied - no</t>
        </is>
      </c>
      <c r="L6" t="inlineStr">
        <is>
          <t>Timing</t>
        </is>
      </c>
      <c r="M6" t="inlineStr">
        <is>
          <t>Opted out</t>
        </is>
      </c>
    </row>
    <row r="7">
      <c r="A7" t="inlineStr">
        <is>
          <t>Fitness</t>
        </is>
      </c>
      <c r="B7" t="inlineStr">
        <is>
          <t>Walkthrough Complete</t>
        </is>
      </c>
      <c r="G7" t="inlineStr">
        <is>
          <t>Acquisition</t>
        </is>
      </c>
      <c r="I7" t="inlineStr">
        <is>
          <t>Director</t>
        </is>
      </c>
      <c r="K7" t="inlineStr">
        <is>
          <t>Opted out</t>
        </is>
      </c>
      <c r="L7" t="inlineStr">
        <is>
          <t>Lost contact</t>
        </is>
      </c>
      <c r="M7" t="inlineStr">
        <is>
          <t>Duplicate</t>
        </is>
      </c>
    </row>
    <row r="8">
      <c r="A8" t="inlineStr">
        <is>
          <t>Place of Worship</t>
        </is>
      </c>
      <c r="B8" t="inlineStr">
        <is>
          <t>Proposal Sent</t>
        </is>
      </c>
      <c r="G8" t="inlineStr">
        <is>
          <t>Headcount growth</t>
        </is>
      </c>
      <c r="I8" t="inlineStr">
        <is>
          <t>Business Manager</t>
        </is>
      </c>
      <c r="K8" t="inlineStr">
        <is>
          <t>Bounced</t>
        </is>
      </c>
      <c r="L8" t="inlineStr">
        <is>
          <t>We declined</t>
        </is>
      </c>
      <c r="M8" t="inlineStr">
        <is>
          <t>Out of business</t>
        </is>
      </c>
    </row>
    <row r="9">
      <c r="A9" t="inlineStr">
        <is>
          <t>Other</t>
        </is>
      </c>
      <c r="B9" t="inlineStr">
        <is>
          <t>Negotiation</t>
        </is>
      </c>
      <c r="G9" t="inlineStr">
        <is>
          <t>Funding / news</t>
        </is>
      </c>
      <c r="I9" t="inlineStr">
        <is>
          <t>Owner</t>
        </is>
      </c>
      <c r="K9" t="inlineStr">
        <is>
          <t>No reply</t>
        </is>
      </c>
      <c r="M9" t="inlineStr">
        <is>
          <t>Not a fit</t>
        </is>
      </c>
    </row>
    <row r="10">
      <c r="B10" t="inlineStr">
        <is>
          <t>Won</t>
        </is>
      </c>
      <c r="G10" t="inlineStr">
        <is>
          <t>Other</t>
        </is>
      </c>
      <c r="I10" t="inlineStr">
        <is>
          <t>Other</t>
        </is>
      </c>
    </row>
    <row r="11">
      <c r="B11" t="inlineStr">
        <is>
          <t>Lost</t>
        </is>
      </c>
      <c r="I11" t="inlineStr">
        <is>
          <t>Unknown</t>
        </is>
      </c>
    </row>
    <row r="12">
      <c r="B12" t="inlineStr">
        <is>
          <t>Nurture</t>
        </is>
      </c>
    </row>
    <row r="13">
      <c r="B13" t="inlineStr">
        <is>
          <t>Disqualified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403"/>
  <sheetViews>
    <sheetView showGridLines="0" workbookViewId="0">
      <pane ySplit="3" topLeftCell="A4" activePane="bottomLeft" state="frozen"/>
      <selection pane="bottomLeft" activeCell="A1" sqref="A1"/>
    </sheetView>
  </sheetViews>
  <sheetFormatPr baseColWidth="8" defaultRowHeight="15"/>
  <cols>
    <col width="12" customWidth="1" min="1" max="1"/>
    <col width="26" customWidth="1" min="2" max="2"/>
    <col width="24" customWidth="1" min="3" max="3"/>
    <col width="14" customWidth="1" min="4" max="4"/>
    <col width="7" customWidth="1" min="5" max="5"/>
    <col width="20" customWidth="1" min="6" max="6"/>
    <col width="10" customWidth="1" min="7" max="7"/>
    <col width="14" customWidth="1" min="8" max="8"/>
    <col width="8" customWidth="1" min="9" max="9"/>
    <col width="8" customWidth="1" min="10" max="10"/>
    <col width="9" customWidth="1" min="11" max="11"/>
    <col width="9" customWidth="1" min="12" max="12"/>
    <col width="9" customWidth="1" min="13" max="13"/>
    <col width="8" customWidth="1" min="14" max="14"/>
    <col width="12" customWidth="1" min="15" max="15"/>
    <col width="20" customWidth="1" min="16" max="16"/>
    <col width="9" customWidth="1" min="17" max="17"/>
    <col width="28" customWidth="1" min="18" max="18"/>
    <col width="14" customWidth="1" min="19" max="19"/>
    <col width="11" customWidth="1" min="20" max="20"/>
    <col width="12" customWidth="1" min="21" max="21"/>
    <col width="18" customWidth="1" min="22" max="22"/>
    <col width="11" customWidth="1" min="23" max="23"/>
    <col width="11" customWidth="1" min="24" max="24"/>
    <col width="34" customWidth="1" min="25" max="25"/>
  </cols>
  <sheetData>
    <row r="1">
      <c r="A1" s="1" t="inlineStr">
        <is>
          <t>Account Tracker</t>
        </is>
      </c>
    </row>
    <row r="2">
      <c r="A2" s="2" t="inlineStr">
        <is>
          <t>One row per building. Score it, stage it, and give it a next action with a date.</t>
        </is>
      </c>
    </row>
    <row r="3">
      <c r="A3" s="6" t="inlineStr">
        <is>
          <t>Account ID</t>
        </is>
      </c>
      <c r="B3" s="6" t="inlineStr">
        <is>
          <t>Company</t>
        </is>
      </c>
      <c r="C3" s="6" t="inlineStr">
        <is>
          <t>Website</t>
        </is>
      </c>
      <c r="D3" s="6" t="inlineStr">
        <is>
          <t>City</t>
        </is>
      </c>
      <c r="E3" s="6" t="inlineStr">
        <is>
          <t>State</t>
        </is>
      </c>
      <c r="F3" s="6" t="inlineStr">
        <is>
          <t>Segment</t>
        </is>
      </c>
      <c r="G3" s="6" t="inlineStr">
        <is>
          <t>Est. sq ft</t>
        </is>
      </c>
      <c r="H3" s="6" t="inlineStr">
        <is>
          <t>Est. monthly value</t>
        </is>
      </c>
      <c r="I3" s="6" t="inlineStr">
        <is>
          <t>Fit 0-5</t>
        </is>
      </c>
      <c r="J3" s="6" t="inlineStr">
        <is>
          <t>Value 0-5</t>
        </is>
      </c>
      <c r="K3" s="6" t="inlineStr">
        <is>
          <t>Trigger 0-5</t>
        </is>
      </c>
      <c r="L3" s="6" t="inlineStr">
        <is>
          <t>Access 0-3</t>
        </is>
      </c>
      <c r="M3" s="6" t="inlineStr">
        <is>
          <t>Service 0-2</t>
        </is>
      </c>
      <c r="N3" s="6" t="inlineStr">
        <is>
          <t>TOTAL</t>
        </is>
      </c>
      <c r="O3" s="6" t="inlineStr">
        <is>
          <t>Band</t>
        </is>
      </c>
      <c r="P3" s="6" t="inlineStr">
        <is>
          <t>Stage</t>
        </is>
      </c>
      <c r="Q3" s="6" t="inlineStr">
        <is>
          <t>Owner</t>
        </is>
      </c>
      <c r="R3" s="6" t="inlineStr">
        <is>
          <t>Next action</t>
        </is>
      </c>
      <c r="S3" s="6" t="inlineStr">
        <is>
          <t>Next action date</t>
        </is>
      </c>
      <c r="T3" s="6" t="inlineStr">
        <is>
          <t>Days overdue</t>
        </is>
      </c>
      <c r="U3" s="6" t="inlineStr">
        <is>
          <t>Last contact</t>
        </is>
      </c>
      <c r="V3" s="6" t="inlineStr">
        <is>
          <t>Source</t>
        </is>
      </c>
      <c r="W3" s="6" t="inlineStr">
        <is>
          <t>Date found</t>
        </is>
      </c>
      <c r="X3" s="6" t="inlineStr">
        <is>
          <t>Duplicate?</t>
        </is>
      </c>
      <c r="Y3" s="6" t="inlineStr">
        <is>
          <t>Notes</t>
        </is>
      </c>
    </row>
    <row r="4">
      <c r="A4" s="7" t="inlineStr">
        <is>
          <t>ACC-001</t>
        </is>
      </c>
      <c r="B4" s="7" t="inlineStr">
        <is>
          <t>(example) Northgate Dental</t>
        </is>
      </c>
      <c r="C4" s="7" t="inlineStr">
        <is>
          <t>northgate-example.com</t>
        </is>
      </c>
      <c r="D4" s="7" t="inlineStr">
        <is>
          <t>Irving</t>
        </is>
      </c>
      <c r="E4" s="7" t="inlineStr">
        <is>
          <t>TX</t>
        </is>
      </c>
      <c r="F4" s="7" t="inlineStr">
        <is>
          <t>Medical / Dental</t>
        </is>
      </c>
      <c r="G4" s="7" t="n">
        <v>4200</v>
      </c>
      <c r="H4" s="7" t="inlineStr"/>
      <c r="I4" s="7" t="n">
        <v>4</v>
      </c>
      <c r="J4" s="7" t="n">
        <v>3</v>
      </c>
      <c r="K4" s="7" t="n">
        <v>5</v>
      </c>
      <c r="L4" s="7" t="n">
        <v>2</v>
      </c>
      <c r="M4" s="7" t="n">
        <v>2</v>
      </c>
      <c r="N4" s="8">
        <f>IF(COUNT(I4:M4)=5,SUM(I4:M4),"")</f>
        <v/>
      </c>
      <c r="O4" s="7">
        <f>IF(N4="","",IF(N4&gt;=16,"Priority",IF(N4&gt;=12,"Active",IF(N4&gt;=8,"Nurture / research","Park"))))</f>
        <v/>
      </c>
      <c r="P4" s="7" t="inlineStr">
        <is>
          <t>Contacted</t>
        </is>
      </c>
      <c r="Q4" s="7" t="inlineStr">
        <is>
          <t>Owner</t>
        </is>
      </c>
      <c r="R4" s="7" t="inlineStr">
        <is>
          <t>Send follow-up email 2</t>
        </is>
      </c>
      <c r="S4" s="7">
        <f>TODAY()+2</f>
        <v/>
      </c>
      <c r="T4" s="7">
        <f>IF(OR(S4="",P4="Won",P4="Lost",P4="Disqualified"),"",IF(TODAY()&gt;S4,TODAY()-S4,0))</f>
        <v/>
      </c>
      <c r="U4" s="7" t="inlineStr"/>
      <c r="V4" s="7" t="inlineStr">
        <is>
          <t>Maps + site</t>
        </is>
      </c>
      <c r="W4" s="7">
        <f>TODAY()-14</f>
        <v/>
      </c>
      <c r="X4" s="7">
        <f>IF(C4="","",IF(COUNTIF($C$4:$C$403,C4)&gt;1,"DUPLICATE",""))</f>
        <v/>
      </c>
      <c r="Y4" s="7" t="inlineStr">
        <is>
          <t>Moved into new building. Practice manager named on site.</t>
        </is>
      </c>
    </row>
    <row r="5">
      <c r="A5" s="7" t="inlineStr">
        <is>
          <t>ACC-002</t>
        </is>
      </c>
      <c r="B5" s="7" t="inlineStr">
        <is>
          <t>(example) Cedar Ridge Offices</t>
        </is>
      </c>
      <c r="C5" s="7" t="inlineStr">
        <is>
          <t>cedarridge-example.com</t>
        </is>
      </c>
      <c r="D5" s="7" t="inlineStr">
        <is>
          <t>Plano</t>
        </is>
      </c>
      <c r="E5" s="7" t="inlineStr">
        <is>
          <t>TX</t>
        </is>
      </c>
      <c r="F5" s="7" t="inlineStr">
        <is>
          <t>Office / Professional</t>
        </is>
      </c>
      <c r="G5" s="7" t="n">
        <v>9000</v>
      </c>
      <c r="H5" s="7" t="inlineStr"/>
      <c r="I5" s="7" t="n">
        <v>4</v>
      </c>
      <c r="J5" s="7" t="n">
        <v>4</v>
      </c>
      <c r="K5" s="7" t="n">
        <v>3</v>
      </c>
      <c r="L5" s="7" t="n">
        <v>3</v>
      </c>
      <c r="M5" s="7" t="n">
        <v>2</v>
      </c>
      <c r="N5" s="8">
        <f>IF(COUNT(I5:M5)=5,SUM(I5:M5),"")</f>
        <v/>
      </c>
      <c r="O5" s="7">
        <f>IF(N5="","",IF(N5&gt;=16,"Priority",IF(N5&gt;=12,"Active",IF(N5&gt;=8,"Nurture / research","Park"))))</f>
        <v/>
      </c>
      <c r="P5" s="7" t="inlineStr">
        <is>
          <t>Researching</t>
        </is>
      </c>
      <c r="Q5" s="7" t="inlineStr">
        <is>
          <t>Owner</t>
        </is>
      </c>
      <c r="R5" s="7" t="inlineStr">
        <is>
          <t>Find office manager name</t>
        </is>
      </c>
      <c r="S5" s="7">
        <f>TODAY()+1</f>
        <v/>
      </c>
      <c r="T5" s="7">
        <f>IF(OR(S5="",P5="Won",P5="Lost",P5="Disqualified"),"",IF(TODAY()&gt;S5,TODAY()-S5,0))</f>
        <v/>
      </c>
      <c r="U5" s="7" t="inlineStr"/>
      <c r="V5" s="7" t="inlineStr">
        <is>
          <t>Maps</t>
        </is>
      </c>
      <c r="W5" s="7">
        <f>TODAY()-6</f>
        <v/>
      </c>
      <c r="X5" s="7">
        <f>IF(C5="","",IF(COUNTIF($C$4:$C$403,C5)&gt;1,"DUPLICATE",""))</f>
        <v/>
      </c>
      <c r="Y5" s="7" t="inlineStr">
        <is>
          <t>Two suites, one entrance. Needs a site check.</t>
        </is>
      </c>
    </row>
    <row r="6">
      <c r="A6" s="7" t="inlineStr">
        <is>
          <t>ACC-003</t>
        </is>
      </c>
      <c r="B6" s="7" t="inlineStr">
        <is>
          <t>(example) Foster Property Group</t>
        </is>
      </c>
      <c r="C6" s="7" t="inlineStr">
        <is>
          <t>fosterpg-example.com</t>
        </is>
      </c>
      <c r="D6" s="7" t="inlineStr">
        <is>
          <t>Dallas</t>
        </is>
      </c>
      <c r="E6" s="7" t="inlineStr">
        <is>
          <t>TX</t>
        </is>
      </c>
      <c r="F6" s="7" t="inlineStr">
        <is>
          <t>Property Management</t>
        </is>
      </c>
      <c r="G6" s="7" t="inlineStr"/>
      <c r="H6" s="7" t="inlineStr"/>
      <c r="I6" s="7" t="n">
        <v>5</v>
      </c>
      <c r="J6" s="7" t="n">
        <v>5</v>
      </c>
      <c r="K6" s="7" t="n">
        <v>5</v>
      </c>
      <c r="L6" s="7" t="n">
        <v>2</v>
      </c>
      <c r="M6" s="7" t="n">
        <v>2</v>
      </c>
      <c r="N6" s="8">
        <f>IF(COUNT(I6:M6)=5,SUM(I6:M6),"")</f>
        <v/>
      </c>
      <c r="O6" s="7">
        <f>IF(N6="","",IF(N6&gt;=16,"Priority",IF(N6&gt;=12,"Active",IF(N6&gt;=8,"Nurture / research","Park"))))</f>
        <v/>
      </c>
      <c r="P6" s="7" t="inlineStr">
        <is>
          <t>Conversation</t>
        </is>
      </c>
      <c r="Q6" s="7" t="inlineStr">
        <is>
          <t>Owner</t>
        </is>
      </c>
      <c r="R6" s="7" t="inlineStr">
        <is>
          <t>Confirm walkthrough date in writing</t>
        </is>
      </c>
      <c r="S6" s="7">
        <f>TODAY()</f>
        <v/>
      </c>
      <c r="T6" s="7">
        <f>IF(OR(S6="",P6="Won",P6="Lost",P6="Disqualified"),"",IF(TODAY()&gt;S6,TODAY()-S6,0))</f>
        <v/>
      </c>
      <c r="U6" s="7">
        <f>TODAY()-3</f>
        <v/>
      </c>
      <c r="V6" s="7" t="inlineStr">
        <is>
          <t>Portfolio page</t>
        </is>
      </c>
      <c r="W6" s="7">
        <f>TODAY()-21</f>
        <v/>
      </c>
      <c r="X6" s="7">
        <f>IF(C6="","",IF(COUNTIF($C$4:$C$403,C6)&gt;1,"DUPLICATE",""))</f>
        <v/>
      </c>
      <c r="Y6" s="7" t="inlineStr">
        <is>
          <t>Took on a building on Elm. Portfolio potential, not one site.</t>
        </is>
      </c>
    </row>
    <row r="7">
      <c r="A7" s="7" t="inlineStr">
        <is>
          <t>ACC-004</t>
        </is>
      </c>
      <c r="B7" s="7" t="inlineStr">
        <is>
          <t>(example) Brightpath Daycare</t>
        </is>
      </c>
      <c r="C7" s="7" t="inlineStr">
        <is>
          <t>brightpath-example.com</t>
        </is>
      </c>
      <c r="D7" s="7" t="inlineStr">
        <is>
          <t>Frisco</t>
        </is>
      </c>
      <c r="E7" s="7" t="inlineStr">
        <is>
          <t>TX</t>
        </is>
      </c>
      <c r="F7" s="7" t="inlineStr">
        <is>
          <t>School / Daycare</t>
        </is>
      </c>
      <c r="G7" s="7" t="n">
        <v>3100</v>
      </c>
      <c r="H7" s="7" t="inlineStr"/>
      <c r="I7" s="7" t="n">
        <v>3</v>
      </c>
      <c r="J7" s="7" t="n">
        <v>2</v>
      </c>
      <c r="K7" s="7" t="n">
        <v>1</v>
      </c>
      <c r="L7" s="7" t="n">
        <v>1</v>
      </c>
      <c r="M7" s="7" t="n">
        <v>2</v>
      </c>
      <c r="N7" s="8">
        <f>IF(COUNT(I7:M7)=5,SUM(I7:M7),"")</f>
        <v/>
      </c>
      <c r="O7" s="7">
        <f>IF(N7="","",IF(N7&gt;=16,"Priority",IF(N7&gt;=12,"Active",IF(N7&gt;=8,"Nurture / research","Park"))))</f>
        <v/>
      </c>
      <c r="P7" s="7" t="inlineStr">
        <is>
          <t>Nurture</t>
        </is>
      </c>
      <c r="Q7" s="7" t="inlineStr">
        <is>
          <t>Owner</t>
        </is>
      </c>
      <c r="R7" s="7" t="inlineStr">
        <is>
          <t>Check back before term</t>
        </is>
      </c>
      <c r="S7" s="7">
        <f>TODAY()+45</f>
        <v/>
      </c>
      <c r="T7" s="7">
        <f>IF(OR(S7="",P7="Won",P7="Lost",P7="Disqualified"),"",IF(TODAY()&gt;S7,TODAY()-S7,0))</f>
        <v/>
      </c>
      <c r="U7" s="7" t="inlineStr"/>
      <c r="V7" s="7" t="inlineStr">
        <is>
          <t>Maps</t>
        </is>
      </c>
      <c r="W7" s="7">
        <f>TODAY()-30</f>
        <v/>
      </c>
      <c r="X7" s="7">
        <f>IF(C7="","",IF(COUNTIF($C$4:$C$403,C7)&gt;1,"DUPLICATE",""))</f>
        <v/>
      </c>
      <c r="Y7" s="7" t="inlineStr">
        <is>
          <t>Happy with current cleaner. Review before autumn term.</t>
        </is>
      </c>
    </row>
    <row r="8">
      <c r="A8" s="9" t="n"/>
      <c r="B8" s="9" t="n"/>
      <c r="C8" s="9" t="n"/>
      <c r="D8" s="9" t="n"/>
      <c r="E8" s="9" t="n"/>
      <c r="F8" s="9" t="n"/>
      <c r="G8" s="9" t="n"/>
      <c r="H8" s="9" t="n"/>
      <c r="I8" s="9" t="n"/>
      <c r="J8" s="9" t="n"/>
      <c r="K8" s="9" t="n"/>
      <c r="L8" s="9" t="n"/>
      <c r="M8" s="9" t="n"/>
      <c r="N8" s="8">
        <f>IF(COUNT(I8:M8)=5,SUM(I8:M8),"")</f>
        <v/>
      </c>
      <c r="O8" s="9">
        <f>IF(N8="","",IF(N8&gt;=16,"Priority",IF(N8&gt;=12,"Active",IF(N8&gt;=8,"Nurture / research","Park"))))</f>
        <v/>
      </c>
      <c r="P8" s="9" t="n"/>
      <c r="Q8" s="9" t="n"/>
      <c r="R8" s="9" t="n"/>
      <c r="S8" s="9" t="n"/>
      <c r="T8" s="9">
        <f>IF(OR(S8="",P8="Won",P8="Lost",P8="Disqualified"),"",IF(TODAY()&gt;S8,TODAY()-S8,0))</f>
        <v/>
      </c>
      <c r="U8" s="9" t="n"/>
      <c r="V8" s="9" t="n"/>
      <c r="W8" s="9" t="n"/>
      <c r="X8" s="9">
        <f>IF(C8="","",IF(COUNTIF($C$4:$C$403,C8)&gt;1,"DUPLICATE",""))</f>
        <v/>
      </c>
      <c r="Y8" s="9" t="n"/>
    </row>
    <row r="9">
      <c r="A9" s="9" t="n"/>
      <c r="B9" s="9" t="n"/>
      <c r="C9" s="9" t="n"/>
      <c r="D9" s="9" t="n"/>
      <c r="E9" s="9" t="n"/>
      <c r="F9" s="9" t="n"/>
      <c r="G9" s="9" t="n"/>
      <c r="H9" s="9" t="n"/>
      <c r="I9" s="9" t="n"/>
      <c r="J9" s="9" t="n"/>
      <c r="K9" s="9" t="n"/>
      <c r="L9" s="9" t="n"/>
      <c r="M9" s="9" t="n"/>
      <c r="N9" s="8">
        <f>IF(COUNT(I9:M9)=5,SUM(I9:M9),"")</f>
        <v/>
      </c>
      <c r="O9" s="9">
        <f>IF(N9="","",IF(N9&gt;=16,"Priority",IF(N9&gt;=12,"Active",IF(N9&gt;=8,"Nurture / research","Park"))))</f>
        <v/>
      </c>
      <c r="P9" s="9" t="n"/>
      <c r="Q9" s="9" t="n"/>
      <c r="R9" s="9" t="n"/>
      <c r="S9" s="9" t="n"/>
      <c r="T9" s="9">
        <f>IF(OR(S9="",P9="Won",P9="Lost",P9="Disqualified"),"",IF(TODAY()&gt;S9,TODAY()-S9,0))</f>
        <v/>
      </c>
      <c r="U9" s="9" t="n"/>
      <c r="V9" s="9" t="n"/>
      <c r="W9" s="9" t="n"/>
      <c r="X9" s="9">
        <f>IF(C9="","",IF(COUNTIF($C$4:$C$403,C9)&gt;1,"DUPLICATE",""))</f>
        <v/>
      </c>
      <c r="Y9" s="9" t="n"/>
    </row>
    <row r="10">
      <c r="A10" s="9" t="n"/>
      <c r="B10" s="9" t="n"/>
      <c r="C10" s="9" t="n"/>
      <c r="D10" s="9" t="n"/>
      <c r="E10" s="9" t="n"/>
      <c r="F10" s="9" t="n"/>
      <c r="G10" s="9" t="n"/>
      <c r="H10" s="9" t="n"/>
      <c r="I10" s="9" t="n"/>
      <c r="J10" s="9" t="n"/>
      <c r="K10" s="9" t="n"/>
      <c r="L10" s="9" t="n"/>
      <c r="M10" s="9" t="n"/>
      <c r="N10" s="8">
        <f>IF(COUNT(I10:M10)=5,SUM(I10:M10),"")</f>
        <v/>
      </c>
      <c r="O10" s="9">
        <f>IF(N10="","",IF(N10&gt;=16,"Priority",IF(N10&gt;=12,"Active",IF(N10&gt;=8,"Nurture / research","Park"))))</f>
        <v/>
      </c>
      <c r="P10" s="9" t="n"/>
      <c r="Q10" s="9" t="n"/>
      <c r="R10" s="9" t="n"/>
      <c r="S10" s="9" t="n"/>
      <c r="T10" s="9">
        <f>IF(OR(S10="",P10="Won",P10="Lost",P10="Disqualified"),"",IF(TODAY()&gt;S10,TODAY()-S10,0))</f>
        <v/>
      </c>
      <c r="U10" s="9" t="n"/>
      <c r="V10" s="9" t="n"/>
      <c r="W10" s="9" t="n"/>
      <c r="X10" s="9">
        <f>IF(C10="","",IF(COUNTIF($C$4:$C$403,C10)&gt;1,"DUPLICATE",""))</f>
        <v/>
      </c>
      <c r="Y10" s="9" t="n"/>
    </row>
    <row r="11">
      <c r="A11" s="9" t="n"/>
      <c r="B11" s="9" t="n"/>
      <c r="C11" s="9" t="n"/>
      <c r="D11" s="9" t="n"/>
      <c r="E11" s="9" t="n"/>
      <c r="F11" s="9" t="n"/>
      <c r="G11" s="9" t="n"/>
      <c r="H11" s="9" t="n"/>
      <c r="I11" s="9" t="n"/>
      <c r="J11" s="9" t="n"/>
      <c r="K11" s="9" t="n"/>
      <c r="L11" s="9" t="n"/>
      <c r="M11" s="9" t="n"/>
      <c r="N11" s="8">
        <f>IF(COUNT(I11:M11)=5,SUM(I11:M11),"")</f>
        <v/>
      </c>
      <c r="O11" s="9">
        <f>IF(N11="","",IF(N11&gt;=16,"Priority",IF(N11&gt;=12,"Active",IF(N11&gt;=8,"Nurture / research","Park"))))</f>
        <v/>
      </c>
      <c r="P11" s="9" t="n"/>
      <c r="Q11" s="9" t="n"/>
      <c r="R11" s="9" t="n"/>
      <c r="S11" s="9" t="n"/>
      <c r="T11" s="9">
        <f>IF(OR(S11="",P11="Won",P11="Lost",P11="Disqualified"),"",IF(TODAY()&gt;S11,TODAY()-S11,0))</f>
        <v/>
      </c>
      <c r="U11" s="9" t="n"/>
      <c r="V11" s="9" t="n"/>
      <c r="W11" s="9" t="n"/>
      <c r="X11" s="9">
        <f>IF(C11="","",IF(COUNTIF($C$4:$C$403,C11)&gt;1,"DUPLICATE",""))</f>
        <v/>
      </c>
      <c r="Y11" s="9" t="n"/>
    </row>
    <row r="12">
      <c r="A12" s="9" t="n"/>
      <c r="B12" s="9" t="n"/>
      <c r="C12" s="9" t="n"/>
      <c r="D12" s="9" t="n"/>
      <c r="E12" s="9" t="n"/>
      <c r="F12" s="9" t="n"/>
      <c r="G12" s="9" t="n"/>
      <c r="H12" s="9" t="n"/>
      <c r="I12" s="9" t="n"/>
      <c r="J12" s="9" t="n"/>
      <c r="K12" s="9" t="n"/>
      <c r="L12" s="9" t="n"/>
      <c r="M12" s="9" t="n"/>
      <c r="N12" s="8">
        <f>IF(COUNT(I12:M12)=5,SUM(I12:M12),"")</f>
        <v/>
      </c>
      <c r="O12" s="9">
        <f>IF(N12="","",IF(N12&gt;=16,"Priority",IF(N12&gt;=12,"Active",IF(N12&gt;=8,"Nurture / research","Park"))))</f>
        <v/>
      </c>
      <c r="P12" s="9" t="n"/>
      <c r="Q12" s="9" t="n"/>
      <c r="R12" s="9" t="n"/>
      <c r="S12" s="9" t="n"/>
      <c r="T12" s="9">
        <f>IF(OR(S12="",P12="Won",P12="Lost",P12="Disqualified"),"",IF(TODAY()&gt;S12,TODAY()-S12,0))</f>
        <v/>
      </c>
      <c r="U12" s="9" t="n"/>
      <c r="V12" s="9" t="n"/>
      <c r="W12" s="9" t="n"/>
      <c r="X12" s="9">
        <f>IF(C12="","",IF(COUNTIF($C$4:$C$403,C12)&gt;1,"DUPLICATE",""))</f>
        <v/>
      </c>
      <c r="Y12" s="9" t="n"/>
    </row>
    <row r="13">
      <c r="A13" s="9" t="n"/>
      <c r="B13" s="9" t="n"/>
      <c r="C13" s="9" t="n"/>
      <c r="D13" s="9" t="n"/>
      <c r="E13" s="9" t="n"/>
      <c r="F13" s="9" t="n"/>
      <c r="G13" s="9" t="n"/>
      <c r="H13" s="9" t="n"/>
      <c r="I13" s="9" t="n"/>
      <c r="J13" s="9" t="n"/>
      <c r="K13" s="9" t="n"/>
      <c r="L13" s="9" t="n"/>
      <c r="M13" s="9" t="n"/>
      <c r="N13" s="8">
        <f>IF(COUNT(I13:M13)=5,SUM(I13:M13),"")</f>
        <v/>
      </c>
      <c r="O13" s="9">
        <f>IF(N13="","",IF(N13&gt;=16,"Priority",IF(N13&gt;=12,"Active",IF(N13&gt;=8,"Nurture / research","Park"))))</f>
        <v/>
      </c>
      <c r="P13" s="9" t="n"/>
      <c r="Q13" s="9" t="n"/>
      <c r="R13" s="9" t="n"/>
      <c r="S13" s="9" t="n"/>
      <c r="T13" s="9">
        <f>IF(OR(S13="",P13="Won",P13="Lost",P13="Disqualified"),"",IF(TODAY()&gt;S13,TODAY()-S13,0))</f>
        <v/>
      </c>
      <c r="U13" s="9" t="n"/>
      <c r="V13" s="9" t="n"/>
      <c r="W13" s="9" t="n"/>
      <c r="X13" s="9">
        <f>IF(C13="","",IF(COUNTIF($C$4:$C$403,C13)&gt;1,"DUPLICATE",""))</f>
        <v/>
      </c>
      <c r="Y13" s="9" t="n"/>
    </row>
    <row r="14">
      <c r="A14" s="9" t="n"/>
      <c r="B14" s="9" t="n"/>
      <c r="C14" s="9" t="n"/>
      <c r="D14" s="9" t="n"/>
      <c r="E14" s="9" t="n"/>
      <c r="F14" s="9" t="n"/>
      <c r="G14" s="9" t="n"/>
      <c r="H14" s="9" t="n"/>
      <c r="I14" s="9" t="n"/>
      <c r="J14" s="9" t="n"/>
      <c r="K14" s="9" t="n"/>
      <c r="L14" s="9" t="n"/>
      <c r="M14" s="9" t="n"/>
      <c r="N14" s="8">
        <f>IF(COUNT(I14:M14)=5,SUM(I14:M14),"")</f>
        <v/>
      </c>
      <c r="O14" s="9">
        <f>IF(N14="","",IF(N14&gt;=16,"Priority",IF(N14&gt;=12,"Active",IF(N14&gt;=8,"Nurture / research","Park"))))</f>
        <v/>
      </c>
      <c r="P14" s="9" t="n"/>
      <c r="Q14" s="9" t="n"/>
      <c r="R14" s="9" t="n"/>
      <c r="S14" s="9" t="n"/>
      <c r="T14" s="9">
        <f>IF(OR(S14="",P14="Won",P14="Lost",P14="Disqualified"),"",IF(TODAY()&gt;S14,TODAY()-S14,0))</f>
        <v/>
      </c>
      <c r="U14" s="9" t="n"/>
      <c r="V14" s="9" t="n"/>
      <c r="W14" s="9" t="n"/>
      <c r="X14" s="9">
        <f>IF(C14="","",IF(COUNTIF($C$4:$C$403,C14)&gt;1,"DUPLICATE",""))</f>
        <v/>
      </c>
      <c r="Y14" s="9" t="n"/>
    </row>
    <row r="15">
      <c r="A15" s="9" t="n"/>
      <c r="B15" s="9" t="n"/>
      <c r="C15" s="9" t="n"/>
      <c r="D15" s="9" t="n"/>
      <c r="E15" s="9" t="n"/>
      <c r="F15" s="9" t="n"/>
      <c r="G15" s="9" t="n"/>
      <c r="H15" s="9" t="n"/>
      <c r="I15" s="9" t="n"/>
      <c r="J15" s="9" t="n"/>
      <c r="K15" s="9" t="n"/>
      <c r="L15" s="9" t="n"/>
      <c r="M15" s="9" t="n"/>
      <c r="N15" s="8">
        <f>IF(COUNT(I15:M15)=5,SUM(I15:M15),"")</f>
        <v/>
      </c>
      <c r="O15" s="9">
        <f>IF(N15="","",IF(N15&gt;=16,"Priority",IF(N15&gt;=12,"Active",IF(N15&gt;=8,"Nurture / research","Park"))))</f>
        <v/>
      </c>
      <c r="P15" s="9" t="n"/>
      <c r="Q15" s="9" t="n"/>
      <c r="R15" s="9" t="n"/>
      <c r="S15" s="9" t="n"/>
      <c r="T15" s="9">
        <f>IF(OR(S15="",P15="Won",P15="Lost",P15="Disqualified"),"",IF(TODAY()&gt;S15,TODAY()-S15,0))</f>
        <v/>
      </c>
      <c r="U15" s="9" t="n"/>
      <c r="V15" s="9" t="n"/>
      <c r="W15" s="9" t="n"/>
      <c r="X15" s="9">
        <f>IF(C15="","",IF(COUNTIF($C$4:$C$403,C15)&gt;1,"DUPLICATE",""))</f>
        <v/>
      </c>
      <c r="Y15" s="9" t="n"/>
    </row>
    <row r="16">
      <c r="A16" s="9" t="n"/>
      <c r="B16" s="9" t="n"/>
      <c r="C16" s="9" t="n"/>
      <c r="D16" s="9" t="n"/>
      <c r="E16" s="9" t="n"/>
      <c r="F16" s="9" t="n"/>
      <c r="G16" s="9" t="n"/>
      <c r="H16" s="9" t="n"/>
      <c r="I16" s="9" t="n"/>
      <c r="J16" s="9" t="n"/>
      <c r="K16" s="9" t="n"/>
      <c r="L16" s="9" t="n"/>
      <c r="M16" s="9" t="n"/>
      <c r="N16" s="8">
        <f>IF(COUNT(I16:M16)=5,SUM(I16:M16),"")</f>
        <v/>
      </c>
      <c r="O16" s="9">
        <f>IF(N16="","",IF(N16&gt;=16,"Priority",IF(N16&gt;=12,"Active",IF(N16&gt;=8,"Nurture / research","Park"))))</f>
        <v/>
      </c>
      <c r="P16" s="9" t="n"/>
      <c r="Q16" s="9" t="n"/>
      <c r="R16" s="9" t="n"/>
      <c r="S16" s="9" t="n"/>
      <c r="T16" s="9">
        <f>IF(OR(S16="",P16="Won",P16="Lost",P16="Disqualified"),"",IF(TODAY()&gt;S16,TODAY()-S16,0))</f>
        <v/>
      </c>
      <c r="U16" s="9" t="n"/>
      <c r="V16" s="9" t="n"/>
      <c r="W16" s="9" t="n"/>
      <c r="X16" s="9">
        <f>IF(C16="","",IF(COUNTIF($C$4:$C$403,C16)&gt;1,"DUPLICATE",""))</f>
        <v/>
      </c>
      <c r="Y16" s="9" t="n"/>
    </row>
    <row r="17">
      <c r="A17" s="9" t="n"/>
      <c r="B17" s="9" t="n"/>
      <c r="C17" s="9" t="n"/>
      <c r="D17" s="9" t="n"/>
      <c r="E17" s="9" t="n"/>
      <c r="F17" s="9" t="n"/>
      <c r="G17" s="9" t="n"/>
      <c r="H17" s="9" t="n"/>
      <c r="I17" s="9" t="n"/>
      <c r="J17" s="9" t="n"/>
      <c r="K17" s="9" t="n"/>
      <c r="L17" s="9" t="n"/>
      <c r="M17" s="9" t="n"/>
      <c r="N17" s="8">
        <f>IF(COUNT(I17:M17)=5,SUM(I17:M17),"")</f>
        <v/>
      </c>
      <c r="O17" s="9">
        <f>IF(N17="","",IF(N17&gt;=16,"Priority",IF(N17&gt;=12,"Active",IF(N17&gt;=8,"Nurture / research","Park"))))</f>
        <v/>
      </c>
      <c r="P17" s="9" t="n"/>
      <c r="Q17" s="9" t="n"/>
      <c r="R17" s="9" t="n"/>
      <c r="S17" s="9" t="n"/>
      <c r="T17" s="9">
        <f>IF(OR(S17="",P17="Won",P17="Lost",P17="Disqualified"),"",IF(TODAY()&gt;S17,TODAY()-S17,0))</f>
        <v/>
      </c>
      <c r="U17" s="9" t="n"/>
      <c r="V17" s="9" t="n"/>
      <c r="W17" s="9" t="n"/>
      <c r="X17" s="9">
        <f>IF(C17="","",IF(COUNTIF($C$4:$C$403,C17)&gt;1,"DUPLICATE",""))</f>
        <v/>
      </c>
      <c r="Y17" s="9" t="n"/>
    </row>
    <row r="18">
      <c r="A18" s="9" t="n"/>
      <c r="B18" s="9" t="n"/>
      <c r="C18" s="9" t="n"/>
      <c r="D18" s="9" t="n"/>
      <c r="E18" s="9" t="n"/>
      <c r="F18" s="9" t="n"/>
      <c r="G18" s="9" t="n"/>
      <c r="H18" s="9" t="n"/>
      <c r="I18" s="9" t="n"/>
      <c r="J18" s="9" t="n"/>
      <c r="K18" s="9" t="n"/>
      <c r="L18" s="9" t="n"/>
      <c r="M18" s="9" t="n"/>
      <c r="N18" s="8">
        <f>IF(COUNT(I18:M18)=5,SUM(I18:M18),"")</f>
        <v/>
      </c>
      <c r="O18" s="9">
        <f>IF(N18="","",IF(N18&gt;=16,"Priority",IF(N18&gt;=12,"Active",IF(N18&gt;=8,"Nurture / research","Park"))))</f>
        <v/>
      </c>
      <c r="P18" s="9" t="n"/>
      <c r="Q18" s="9" t="n"/>
      <c r="R18" s="9" t="n"/>
      <c r="S18" s="9" t="n"/>
      <c r="T18" s="9">
        <f>IF(OR(S18="",P18="Won",P18="Lost",P18="Disqualified"),"",IF(TODAY()&gt;S18,TODAY()-S18,0))</f>
        <v/>
      </c>
      <c r="U18" s="9" t="n"/>
      <c r="V18" s="9" t="n"/>
      <c r="W18" s="9" t="n"/>
      <c r="X18" s="9">
        <f>IF(C18="","",IF(COUNTIF($C$4:$C$403,C18)&gt;1,"DUPLICATE",""))</f>
        <v/>
      </c>
      <c r="Y18" s="9" t="n"/>
    </row>
    <row r="19">
      <c r="A19" s="9" t="n"/>
      <c r="B19" s="9" t="n"/>
      <c r="C19" s="9" t="n"/>
      <c r="D19" s="9" t="n"/>
      <c r="E19" s="9" t="n"/>
      <c r="F19" s="9" t="n"/>
      <c r="G19" s="9" t="n"/>
      <c r="H19" s="9" t="n"/>
      <c r="I19" s="9" t="n"/>
      <c r="J19" s="9" t="n"/>
      <c r="K19" s="9" t="n"/>
      <c r="L19" s="9" t="n"/>
      <c r="M19" s="9" t="n"/>
      <c r="N19" s="8">
        <f>IF(COUNT(I19:M19)=5,SUM(I19:M19),"")</f>
        <v/>
      </c>
      <c r="O19" s="9">
        <f>IF(N19="","",IF(N19&gt;=16,"Priority",IF(N19&gt;=12,"Active",IF(N19&gt;=8,"Nurture / research","Park"))))</f>
        <v/>
      </c>
      <c r="P19" s="9" t="n"/>
      <c r="Q19" s="9" t="n"/>
      <c r="R19" s="9" t="n"/>
      <c r="S19" s="9" t="n"/>
      <c r="T19" s="9">
        <f>IF(OR(S19="",P19="Won",P19="Lost",P19="Disqualified"),"",IF(TODAY()&gt;S19,TODAY()-S19,0))</f>
        <v/>
      </c>
      <c r="U19" s="9" t="n"/>
      <c r="V19" s="9" t="n"/>
      <c r="W19" s="9" t="n"/>
      <c r="X19" s="9">
        <f>IF(C19="","",IF(COUNTIF($C$4:$C$403,C19)&gt;1,"DUPLICATE",""))</f>
        <v/>
      </c>
      <c r="Y19" s="9" t="n"/>
    </row>
    <row r="20">
      <c r="A20" s="9" t="n"/>
      <c r="B20" s="9" t="n"/>
      <c r="C20" s="9" t="n"/>
      <c r="D20" s="9" t="n"/>
      <c r="E20" s="9" t="n"/>
      <c r="F20" s="9" t="n"/>
      <c r="G20" s="9" t="n"/>
      <c r="H20" s="9" t="n"/>
      <c r="I20" s="9" t="n"/>
      <c r="J20" s="9" t="n"/>
      <c r="K20" s="9" t="n"/>
      <c r="L20" s="9" t="n"/>
      <c r="M20" s="9" t="n"/>
      <c r="N20" s="8">
        <f>IF(COUNT(I20:M20)=5,SUM(I20:M20),"")</f>
        <v/>
      </c>
      <c r="O20" s="9">
        <f>IF(N20="","",IF(N20&gt;=16,"Priority",IF(N20&gt;=12,"Active",IF(N20&gt;=8,"Nurture / research","Park"))))</f>
        <v/>
      </c>
      <c r="P20" s="9" t="n"/>
      <c r="Q20" s="9" t="n"/>
      <c r="R20" s="9" t="n"/>
      <c r="S20" s="9" t="n"/>
      <c r="T20" s="9">
        <f>IF(OR(S20="",P20="Won",P20="Lost",P20="Disqualified"),"",IF(TODAY()&gt;S20,TODAY()-S20,0))</f>
        <v/>
      </c>
      <c r="U20" s="9" t="n"/>
      <c r="V20" s="9" t="n"/>
      <c r="W20" s="9" t="n"/>
      <c r="X20" s="9">
        <f>IF(C20="","",IF(COUNTIF($C$4:$C$403,C20)&gt;1,"DUPLICATE",""))</f>
        <v/>
      </c>
      <c r="Y20" s="9" t="n"/>
    </row>
    <row r="21">
      <c r="A21" s="9" t="n"/>
      <c r="B21" s="9" t="n"/>
      <c r="C21" s="9" t="n"/>
      <c r="D21" s="9" t="n"/>
      <c r="E21" s="9" t="n"/>
      <c r="F21" s="9" t="n"/>
      <c r="G21" s="9" t="n"/>
      <c r="H21" s="9" t="n"/>
      <c r="I21" s="9" t="n"/>
      <c r="J21" s="9" t="n"/>
      <c r="K21" s="9" t="n"/>
      <c r="L21" s="9" t="n"/>
      <c r="M21" s="9" t="n"/>
      <c r="N21" s="8">
        <f>IF(COUNT(I21:M21)=5,SUM(I21:M21),"")</f>
        <v/>
      </c>
      <c r="O21" s="9">
        <f>IF(N21="","",IF(N21&gt;=16,"Priority",IF(N21&gt;=12,"Active",IF(N21&gt;=8,"Nurture / research","Park"))))</f>
        <v/>
      </c>
      <c r="P21" s="9" t="n"/>
      <c r="Q21" s="9" t="n"/>
      <c r="R21" s="9" t="n"/>
      <c r="S21" s="9" t="n"/>
      <c r="T21" s="9">
        <f>IF(OR(S21="",P21="Won",P21="Lost",P21="Disqualified"),"",IF(TODAY()&gt;S21,TODAY()-S21,0))</f>
        <v/>
      </c>
      <c r="U21" s="9" t="n"/>
      <c r="V21" s="9" t="n"/>
      <c r="W21" s="9" t="n"/>
      <c r="X21" s="9">
        <f>IF(C21="","",IF(COUNTIF($C$4:$C$403,C21)&gt;1,"DUPLICATE",""))</f>
        <v/>
      </c>
      <c r="Y21" s="9" t="n"/>
    </row>
    <row r="22">
      <c r="A22" s="9" t="n"/>
      <c r="B22" s="9" t="n"/>
      <c r="C22" s="9" t="n"/>
      <c r="D22" s="9" t="n"/>
      <c r="E22" s="9" t="n"/>
      <c r="F22" s="9" t="n"/>
      <c r="G22" s="9" t="n"/>
      <c r="H22" s="9" t="n"/>
      <c r="I22" s="9" t="n"/>
      <c r="J22" s="9" t="n"/>
      <c r="K22" s="9" t="n"/>
      <c r="L22" s="9" t="n"/>
      <c r="M22" s="9" t="n"/>
      <c r="N22" s="8">
        <f>IF(COUNT(I22:M22)=5,SUM(I22:M22),"")</f>
        <v/>
      </c>
      <c r="O22" s="9">
        <f>IF(N22="","",IF(N22&gt;=16,"Priority",IF(N22&gt;=12,"Active",IF(N22&gt;=8,"Nurture / research","Park"))))</f>
        <v/>
      </c>
      <c r="P22" s="9" t="n"/>
      <c r="Q22" s="9" t="n"/>
      <c r="R22" s="9" t="n"/>
      <c r="S22" s="9" t="n"/>
      <c r="T22" s="9">
        <f>IF(OR(S22="",P22="Won",P22="Lost",P22="Disqualified"),"",IF(TODAY()&gt;S22,TODAY()-S22,0))</f>
        <v/>
      </c>
      <c r="U22" s="9" t="n"/>
      <c r="V22" s="9" t="n"/>
      <c r="W22" s="9" t="n"/>
      <c r="X22" s="9">
        <f>IF(C22="","",IF(COUNTIF($C$4:$C$403,C22)&gt;1,"DUPLICATE",""))</f>
        <v/>
      </c>
      <c r="Y22" s="9" t="n"/>
    </row>
    <row r="23">
      <c r="A23" s="9" t="n"/>
      <c r="B23" s="9" t="n"/>
      <c r="C23" s="9" t="n"/>
      <c r="D23" s="9" t="n"/>
      <c r="E23" s="9" t="n"/>
      <c r="F23" s="9" t="n"/>
      <c r="G23" s="9" t="n"/>
      <c r="H23" s="9" t="n"/>
      <c r="I23" s="9" t="n"/>
      <c r="J23" s="9" t="n"/>
      <c r="K23" s="9" t="n"/>
      <c r="L23" s="9" t="n"/>
      <c r="M23" s="9" t="n"/>
      <c r="N23" s="8">
        <f>IF(COUNT(I23:M23)=5,SUM(I23:M23),"")</f>
        <v/>
      </c>
      <c r="O23" s="9">
        <f>IF(N23="","",IF(N23&gt;=16,"Priority",IF(N23&gt;=12,"Active",IF(N23&gt;=8,"Nurture / research","Park"))))</f>
        <v/>
      </c>
      <c r="P23" s="9" t="n"/>
      <c r="Q23" s="9" t="n"/>
      <c r="R23" s="9" t="n"/>
      <c r="S23" s="9" t="n"/>
      <c r="T23" s="9">
        <f>IF(OR(S23="",P23="Won",P23="Lost",P23="Disqualified"),"",IF(TODAY()&gt;S23,TODAY()-S23,0))</f>
        <v/>
      </c>
      <c r="U23" s="9" t="n"/>
      <c r="V23" s="9" t="n"/>
      <c r="W23" s="9" t="n"/>
      <c r="X23" s="9">
        <f>IF(C23="","",IF(COUNTIF($C$4:$C$403,C23)&gt;1,"DUPLICATE",""))</f>
        <v/>
      </c>
      <c r="Y23" s="9" t="n"/>
    </row>
    <row r="24">
      <c r="A24" s="9" t="n"/>
      <c r="B24" s="9" t="n"/>
      <c r="C24" s="9" t="n"/>
      <c r="D24" s="9" t="n"/>
      <c r="E24" s="9" t="n"/>
      <c r="F24" s="9" t="n"/>
      <c r="G24" s="9" t="n"/>
      <c r="H24" s="9" t="n"/>
      <c r="I24" s="9" t="n"/>
      <c r="J24" s="9" t="n"/>
      <c r="K24" s="9" t="n"/>
      <c r="L24" s="9" t="n"/>
      <c r="M24" s="9" t="n"/>
      <c r="N24" s="8">
        <f>IF(COUNT(I24:M24)=5,SUM(I24:M24),"")</f>
        <v/>
      </c>
      <c r="O24" s="9">
        <f>IF(N24="","",IF(N24&gt;=16,"Priority",IF(N24&gt;=12,"Active",IF(N24&gt;=8,"Nurture / research","Park"))))</f>
        <v/>
      </c>
      <c r="P24" s="9" t="n"/>
      <c r="Q24" s="9" t="n"/>
      <c r="R24" s="9" t="n"/>
      <c r="S24" s="9" t="n"/>
      <c r="T24" s="9">
        <f>IF(OR(S24="",P24="Won",P24="Lost",P24="Disqualified"),"",IF(TODAY()&gt;S24,TODAY()-S24,0))</f>
        <v/>
      </c>
      <c r="U24" s="9" t="n"/>
      <c r="V24" s="9" t="n"/>
      <c r="W24" s="9" t="n"/>
      <c r="X24" s="9">
        <f>IF(C24="","",IF(COUNTIF($C$4:$C$403,C24)&gt;1,"DUPLICATE",""))</f>
        <v/>
      </c>
      <c r="Y24" s="9" t="n"/>
    </row>
    <row r="25">
      <c r="A25" s="9" t="n"/>
      <c r="B25" s="9" t="n"/>
      <c r="C25" s="9" t="n"/>
      <c r="D25" s="9" t="n"/>
      <c r="E25" s="9" t="n"/>
      <c r="F25" s="9" t="n"/>
      <c r="G25" s="9" t="n"/>
      <c r="H25" s="9" t="n"/>
      <c r="I25" s="9" t="n"/>
      <c r="J25" s="9" t="n"/>
      <c r="K25" s="9" t="n"/>
      <c r="L25" s="9" t="n"/>
      <c r="M25" s="9" t="n"/>
      <c r="N25" s="8">
        <f>IF(COUNT(I25:M25)=5,SUM(I25:M25),"")</f>
        <v/>
      </c>
      <c r="O25" s="9">
        <f>IF(N25="","",IF(N25&gt;=16,"Priority",IF(N25&gt;=12,"Active",IF(N25&gt;=8,"Nurture / research","Park"))))</f>
        <v/>
      </c>
      <c r="P25" s="9" t="n"/>
      <c r="Q25" s="9" t="n"/>
      <c r="R25" s="9" t="n"/>
      <c r="S25" s="9" t="n"/>
      <c r="T25" s="9">
        <f>IF(OR(S25="",P25="Won",P25="Lost",P25="Disqualified"),"",IF(TODAY()&gt;S25,TODAY()-S25,0))</f>
        <v/>
      </c>
      <c r="U25" s="9" t="n"/>
      <c r="V25" s="9" t="n"/>
      <c r="W25" s="9" t="n"/>
      <c r="X25" s="9">
        <f>IF(C25="","",IF(COUNTIF($C$4:$C$403,C25)&gt;1,"DUPLICATE",""))</f>
        <v/>
      </c>
      <c r="Y25" s="9" t="n"/>
    </row>
    <row r="26">
      <c r="A26" s="9" t="n"/>
      <c r="B26" s="9" t="n"/>
      <c r="C26" s="9" t="n"/>
      <c r="D26" s="9" t="n"/>
      <c r="E26" s="9" t="n"/>
      <c r="F26" s="9" t="n"/>
      <c r="G26" s="9" t="n"/>
      <c r="H26" s="9" t="n"/>
      <c r="I26" s="9" t="n"/>
      <c r="J26" s="9" t="n"/>
      <c r="K26" s="9" t="n"/>
      <c r="L26" s="9" t="n"/>
      <c r="M26" s="9" t="n"/>
      <c r="N26" s="8">
        <f>IF(COUNT(I26:M26)=5,SUM(I26:M26),"")</f>
        <v/>
      </c>
      <c r="O26" s="9">
        <f>IF(N26="","",IF(N26&gt;=16,"Priority",IF(N26&gt;=12,"Active",IF(N26&gt;=8,"Nurture / research","Park"))))</f>
        <v/>
      </c>
      <c r="P26" s="9" t="n"/>
      <c r="Q26" s="9" t="n"/>
      <c r="R26" s="9" t="n"/>
      <c r="S26" s="9" t="n"/>
      <c r="T26" s="9">
        <f>IF(OR(S26="",P26="Won",P26="Lost",P26="Disqualified"),"",IF(TODAY()&gt;S26,TODAY()-S26,0))</f>
        <v/>
      </c>
      <c r="U26" s="9" t="n"/>
      <c r="V26" s="9" t="n"/>
      <c r="W26" s="9" t="n"/>
      <c r="X26" s="9">
        <f>IF(C26="","",IF(COUNTIF($C$4:$C$403,C26)&gt;1,"DUPLICATE",""))</f>
        <v/>
      </c>
      <c r="Y26" s="9" t="n"/>
    </row>
    <row r="27">
      <c r="A27" s="9" t="n"/>
      <c r="B27" s="9" t="n"/>
      <c r="C27" s="9" t="n"/>
      <c r="D27" s="9" t="n"/>
      <c r="E27" s="9" t="n"/>
      <c r="F27" s="9" t="n"/>
      <c r="G27" s="9" t="n"/>
      <c r="H27" s="9" t="n"/>
      <c r="I27" s="9" t="n"/>
      <c r="J27" s="9" t="n"/>
      <c r="K27" s="9" t="n"/>
      <c r="L27" s="9" t="n"/>
      <c r="M27" s="9" t="n"/>
      <c r="N27" s="8">
        <f>IF(COUNT(I27:M27)=5,SUM(I27:M27),"")</f>
        <v/>
      </c>
      <c r="O27" s="9">
        <f>IF(N27="","",IF(N27&gt;=16,"Priority",IF(N27&gt;=12,"Active",IF(N27&gt;=8,"Nurture / research","Park"))))</f>
        <v/>
      </c>
      <c r="P27" s="9" t="n"/>
      <c r="Q27" s="9" t="n"/>
      <c r="R27" s="9" t="n"/>
      <c r="S27" s="9" t="n"/>
      <c r="T27" s="9">
        <f>IF(OR(S27="",P27="Won",P27="Lost",P27="Disqualified"),"",IF(TODAY()&gt;S27,TODAY()-S27,0))</f>
        <v/>
      </c>
      <c r="U27" s="9" t="n"/>
      <c r="V27" s="9" t="n"/>
      <c r="W27" s="9" t="n"/>
      <c r="X27" s="9">
        <f>IF(C27="","",IF(COUNTIF($C$4:$C$403,C27)&gt;1,"DUPLICATE",""))</f>
        <v/>
      </c>
      <c r="Y27" s="9" t="n"/>
    </row>
    <row r="28">
      <c r="A28" s="9" t="n"/>
      <c r="B28" s="9" t="n"/>
      <c r="C28" s="9" t="n"/>
      <c r="D28" s="9" t="n"/>
      <c r="E28" s="9" t="n"/>
      <c r="F28" s="9" t="n"/>
      <c r="G28" s="9" t="n"/>
      <c r="H28" s="9" t="n"/>
      <c r="I28" s="9" t="n"/>
      <c r="J28" s="9" t="n"/>
      <c r="K28" s="9" t="n"/>
      <c r="L28" s="9" t="n"/>
      <c r="M28" s="9" t="n"/>
      <c r="N28" s="8">
        <f>IF(COUNT(I28:M28)=5,SUM(I28:M28),"")</f>
        <v/>
      </c>
      <c r="O28" s="9">
        <f>IF(N28="","",IF(N28&gt;=16,"Priority",IF(N28&gt;=12,"Active",IF(N28&gt;=8,"Nurture / research","Park"))))</f>
        <v/>
      </c>
      <c r="P28" s="9" t="n"/>
      <c r="Q28" s="9" t="n"/>
      <c r="R28" s="9" t="n"/>
      <c r="S28" s="9" t="n"/>
      <c r="T28" s="9">
        <f>IF(OR(S28="",P28="Won",P28="Lost",P28="Disqualified"),"",IF(TODAY()&gt;S28,TODAY()-S28,0))</f>
        <v/>
      </c>
      <c r="U28" s="9" t="n"/>
      <c r="V28" s="9" t="n"/>
      <c r="W28" s="9" t="n"/>
      <c r="X28" s="9">
        <f>IF(C28="","",IF(COUNTIF($C$4:$C$403,C28)&gt;1,"DUPLICATE",""))</f>
        <v/>
      </c>
      <c r="Y28" s="9" t="n"/>
    </row>
    <row r="29">
      <c r="A29" s="9" t="n"/>
      <c r="B29" s="9" t="n"/>
      <c r="C29" s="9" t="n"/>
      <c r="D29" s="9" t="n"/>
      <c r="E29" s="9" t="n"/>
      <c r="F29" s="9" t="n"/>
      <c r="G29" s="9" t="n"/>
      <c r="H29" s="9" t="n"/>
      <c r="I29" s="9" t="n"/>
      <c r="J29" s="9" t="n"/>
      <c r="K29" s="9" t="n"/>
      <c r="L29" s="9" t="n"/>
      <c r="M29" s="9" t="n"/>
      <c r="N29" s="8">
        <f>IF(COUNT(I29:M29)=5,SUM(I29:M29),"")</f>
        <v/>
      </c>
      <c r="O29" s="9">
        <f>IF(N29="","",IF(N29&gt;=16,"Priority",IF(N29&gt;=12,"Active",IF(N29&gt;=8,"Nurture / research","Park"))))</f>
        <v/>
      </c>
      <c r="P29" s="9" t="n"/>
      <c r="Q29" s="9" t="n"/>
      <c r="R29" s="9" t="n"/>
      <c r="S29" s="9" t="n"/>
      <c r="T29" s="9">
        <f>IF(OR(S29="",P29="Won",P29="Lost",P29="Disqualified"),"",IF(TODAY()&gt;S29,TODAY()-S29,0))</f>
        <v/>
      </c>
      <c r="U29" s="9" t="n"/>
      <c r="V29" s="9" t="n"/>
      <c r="W29" s="9" t="n"/>
      <c r="X29" s="9">
        <f>IF(C29="","",IF(COUNTIF($C$4:$C$403,C29)&gt;1,"DUPLICATE",""))</f>
        <v/>
      </c>
      <c r="Y29" s="9" t="n"/>
    </row>
    <row r="30">
      <c r="A30" s="9" t="n"/>
      <c r="B30" s="9" t="n"/>
      <c r="C30" s="9" t="n"/>
      <c r="D30" s="9" t="n"/>
      <c r="E30" s="9" t="n"/>
      <c r="F30" s="9" t="n"/>
      <c r="G30" s="9" t="n"/>
      <c r="H30" s="9" t="n"/>
      <c r="I30" s="9" t="n"/>
      <c r="J30" s="9" t="n"/>
      <c r="K30" s="9" t="n"/>
      <c r="L30" s="9" t="n"/>
      <c r="M30" s="9" t="n"/>
      <c r="N30" s="8">
        <f>IF(COUNT(I30:M30)=5,SUM(I30:M30),"")</f>
        <v/>
      </c>
      <c r="O30" s="9">
        <f>IF(N30="","",IF(N30&gt;=16,"Priority",IF(N30&gt;=12,"Active",IF(N30&gt;=8,"Nurture / research","Park"))))</f>
        <v/>
      </c>
      <c r="P30" s="9" t="n"/>
      <c r="Q30" s="9" t="n"/>
      <c r="R30" s="9" t="n"/>
      <c r="S30" s="9" t="n"/>
      <c r="T30" s="9">
        <f>IF(OR(S30="",P30="Won",P30="Lost",P30="Disqualified"),"",IF(TODAY()&gt;S30,TODAY()-S30,0))</f>
        <v/>
      </c>
      <c r="U30" s="9" t="n"/>
      <c r="V30" s="9" t="n"/>
      <c r="W30" s="9" t="n"/>
      <c r="X30" s="9">
        <f>IF(C30="","",IF(COUNTIF($C$4:$C$403,C30)&gt;1,"DUPLICATE",""))</f>
        <v/>
      </c>
      <c r="Y30" s="9" t="n"/>
    </row>
    <row r="31">
      <c r="A31" s="9" t="n"/>
      <c r="B31" s="9" t="n"/>
      <c r="C31" s="9" t="n"/>
      <c r="D31" s="9" t="n"/>
      <c r="E31" s="9" t="n"/>
      <c r="F31" s="9" t="n"/>
      <c r="G31" s="9" t="n"/>
      <c r="H31" s="9" t="n"/>
      <c r="I31" s="9" t="n"/>
      <c r="J31" s="9" t="n"/>
      <c r="K31" s="9" t="n"/>
      <c r="L31" s="9" t="n"/>
      <c r="M31" s="9" t="n"/>
      <c r="N31" s="8">
        <f>IF(COUNT(I31:M31)=5,SUM(I31:M31),"")</f>
        <v/>
      </c>
      <c r="O31" s="9">
        <f>IF(N31="","",IF(N31&gt;=16,"Priority",IF(N31&gt;=12,"Active",IF(N31&gt;=8,"Nurture / research","Park"))))</f>
        <v/>
      </c>
      <c r="P31" s="9" t="n"/>
      <c r="Q31" s="9" t="n"/>
      <c r="R31" s="9" t="n"/>
      <c r="S31" s="9" t="n"/>
      <c r="T31" s="9">
        <f>IF(OR(S31="",P31="Won",P31="Lost",P31="Disqualified"),"",IF(TODAY()&gt;S31,TODAY()-S31,0))</f>
        <v/>
      </c>
      <c r="U31" s="9" t="n"/>
      <c r="V31" s="9" t="n"/>
      <c r="W31" s="9" t="n"/>
      <c r="X31" s="9">
        <f>IF(C31="","",IF(COUNTIF($C$4:$C$403,C31)&gt;1,"DUPLICATE",""))</f>
        <v/>
      </c>
      <c r="Y31" s="9" t="n"/>
    </row>
    <row r="32">
      <c r="A32" s="9" t="n"/>
      <c r="B32" s="9" t="n"/>
      <c r="C32" s="9" t="n"/>
      <c r="D32" s="9" t="n"/>
      <c r="E32" s="9" t="n"/>
      <c r="F32" s="9" t="n"/>
      <c r="G32" s="9" t="n"/>
      <c r="H32" s="9" t="n"/>
      <c r="I32" s="9" t="n"/>
      <c r="J32" s="9" t="n"/>
      <c r="K32" s="9" t="n"/>
      <c r="L32" s="9" t="n"/>
      <c r="M32" s="9" t="n"/>
      <c r="N32" s="8">
        <f>IF(COUNT(I32:M32)=5,SUM(I32:M32),"")</f>
        <v/>
      </c>
      <c r="O32" s="9">
        <f>IF(N32="","",IF(N32&gt;=16,"Priority",IF(N32&gt;=12,"Active",IF(N32&gt;=8,"Nurture / research","Park"))))</f>
        <v/>
      </c>
      <c r="P32" s="9" t="n"/>
      <c r="Q32" s="9" t="n"/>
      <c r="R32" s="9" t="n"/>
      <c r="S32" s="9" t="n"/>
      <c r="T32" s="9">
        <f>IF(OR(S32="",P32="Won",P32="Lost",P32="Disqualified"),"",IF(TODAY()&gt;S32,TODAY()-S32,0))</f>
        <v/>
      </c>
      <c r="U32" s="9" t="n"/>
      <c r="V32" s="9" t="n"/>
      <c r="W32" s="9" t="n"/>
      <c r="X32" s="9">
        <f>IF(C32="","",IF(COUNTIF($C$4:$C$403,C32)&gt;1,"DUPLICATE",""))</f>
        <v/>
      </c>
      <c r="Y32" s="9" t="n"/>
    </row>
    <row r="33">
      <c r="A33" s="9" t="n"/>
      <c r="B33" s="9" t="n"/>
      <c r="C33" s="9" t="n"/>
      <c r="D33" s="9" t="n"/>
      <c r="E33" s="9" t="n"/>
      <c r="F33" s="9" t="n"/>
      <c r="G33" s="9" t="n"/>
      <c r="H33" s="9" t="n"/>
      <c r="I33" s="9" t="n"/>
      <c r="J33" s="9" t="n"/>
      <c r="K33" s="9" t="n"/>
      <c r="L33" s="9" t="n"/>
      <c r="M33" s="9" t="n"/>
      <c r="N33" s="8">
        <f>IF(COUNT(I33:M33)=5,SUM(I33:M33),"")</f>
        <v/>
      </c>
      <c r="O33" s="9">
        <f>IF(N33="","",IF(N33&gt;=16,"Priority",IF(N33&gt;=12,"Active",IF(N33&gt;=8,"Nurture / research","Park"))))</f>
        <v/>
      </c>
      <c r="P33" s="9" t="n"/>
      <c r="Q33" s="9" t="n"/>
      <c r="R33" s="9" t="n"/>
      <c r="S33" s="9" t="n"/>
      <c r="T33" s="9">
        <f>IF(OR(S33="",P33="Won",P33="Lost",P33="Disqualified"),"",IF(TODAY()&gt;S33,TODAY()-S33,0))</f>
        <v/>
      </c>
      <c r="U33" s="9" t="n"/>
      <c r="V33" s="9" t="n"/>
      <c r="W33" s="9" t="n"/>
      <c r="X33" s="9">
        <f>IF(C33="","",IF(COUNTIF($C$4:$C$403,C33)&gt;1,"DUPLICATE",""))</f>
        <v/>
      </c>
      <c r="Y33" s="9" t="n"/>
    </row>
    <row r="34">
      <c r="A34" s="9" t="n"/>
      <c r="B34" s="9" t="n"/>
      <c r="C34" s="9" t="n"/>
      <c r="D34" s="9" t="n"/>
      <c r="E34" s="9" t="n"/>
      <c r="F34" s="9" t="n"/>
      <c r="G34" s="9" t="n"/>
      <c r="H34" s="9" t="n"/>
      <c r="I34" s="9" t="n"/>
      <c r="J34" s="9" t="n"/>
      <c r="K34" s="9" t="n"/>
      <c r="L34" s="9" t="n"/>
      <c r="M34" s="9" t="n"/>
      <c r="N34" s="8">
        <f>IF(COUNT(I34:M34)=5,SUM(I34:M34),"")</f>
        <v/>
      </c>
      <c r="O34" s="9">
        <f>IF(N34="","",IF(N34&gt;=16,"Priority",IF(N34&gt;=12,"Active",IF(N34&gt;=8,"Nurture / research","Park"))))</f>
        <v/>
      </c>
      <c r="P34" s="9" t="n"/>
      <c r="Q34" s="9" t="n"/>
      <c r="R34" s="9" t="n"/>
      <c r="S34" s="9" t="n"/>
      <c r="T34" s="9">
        <f>IF(OR(S34="",P34="Won",P34="Lost",P34="Disqualified"),"",IF(TODAY()&gt;S34,TODAY()-S34,0))</f>
        <v/>
      </c>
      <c r="U34" s="9" t="n"/>
      <c r="V34" s="9" t="n"/>
      <c r="W34" s="9" t="n"/>
      <c r="X34" s="9">
        <f>IF(C34="","",IF(COUNTIF($C$4:$C$403,C34)&gt;1,"DUPLICATE",""))</f>
        <v/>
      </c>
      <c r="Y34" s="9" t="n"/>
    </row>
    <row r="35">
      <c r="A35" s="9" t="n"/>
      <c r="B35" s="9" t="n"/>
      <c r="C35" s="9" t="n"/>
      <c r="D35" s="9" t="n"/>
      <c r="E35" s="9" t="n"/>
      <c r="F35" s="9" t="n"/>
      <c r="G35" s="9" t="n"/>
      <c r="H35" s="9" t="n"/>
      <c r="I35" s="9" t="n"/>
      <c r="J35" s="9" t="n"/>
      <c r="K35" s="9" t="n"/>
      <c r="L35" s="9" t="n"/>
      <c r="M35" s="9" t="n"/>
      <c r="N35" s="8">
        <f>IF(COUNT(I35:M35)=5,SUM(I35:M35),"")</f>
        <v/>
      </c>
      <c r="O35" s="9">
        <f>IF(N35="","",IF(N35&gt;=16,"Priority",IF(N35&gt;=12,"Active",IF(N35&gt;=8,"Nurture / research","Park"))))</f>
        <v/>
      </c>
      <c r="P35" s="9" t="n"/>
      <c r="Q35" s="9" t="n"/>
      <c r="R35" s="9" t="n"/>
      <c r="S35" s="9" t="n"/>
      <c r="T35" s="9">
        <f>IF(OR(S35="",P35="Won",P35="Lost",P35="Disqualified"),"",IF(TODAY()&gt;S35,TODAY()-S35,0))</f>
        <v/>
      </c>
      <c r="U35" s="9" t="n"/>
      <c r="V35" s="9" t="n"/>
      <c r="W35" s="9" t="n"/>
      <c r="X35" s="9">
        <f>IF(C35="","",IF(COUNTIF($C$4:$C$403,C35)&gt;1,"DUPLICATE",""))</f>
        <v/>
      </c>
      <c r="Y35" s="9" t="n"/>
    </row>
    <row r="36">
      <c r="A36" s="9" t="n"/>
      <c r="B36" s="9" t="n"/>
      <c r="C36" s="9" t="n"/>
      <c r="D36" s="9" t="n"/>
      <c r="E36" s="9" t="n"/>
      <c r="F36" s="9" t="n"/>
      <c r="G36" s="9" t="n"/>
      <c r="H36" s="9" t="n"/>
      <c r="I36" s="9" t="n"/>
      <c r="J36" s="9" t="n"/>
      <c r="K36" s="9" t="n"/>
      <c r="L36" s="9" t="n"/>
      <c r="M36" s="9" t="n"/>
      <c r="N36" s="8">
        <f>IF(COUNT(I36:M36)=5,SUM(I36:M36),"")</f>
        <v/>
      </c>
      <c r="O36" s="9">
        <f>IF(N36="","",IF(N36&gt;=16,"Priority",IF(N36&gt;=12,"Active",IF(N36&gt;=8,"Nurture / research","Park"))))</f>
        <v/>
      </c>
      <c r="P36" s="9" t="n"/>
      <c r="Q36" s="9" t="n"/>
      <c r="R36" s="9" t="n"/>
      <c r="S36" s="9" t="n"/>
      <c r="T36" s="9">
        <f>IF(OR(S36="",P36="Won",P36="Lost",P36="Disqualified"),"",IF(TODAY()&gt;S36,TODAY()-S36,0))</f>
        <v/>
      </c>
      <c r="U36" s="9" t="n"/>
      <c r="V36" s="9" t="n"/>
      <c r="W36" s="9" t="n"/>
      <c r="X36" s="9">
        <f>IF(C36="","",IF(COUNTIF($C$4:$C$403,C36)&gt;1,"DUPLICATE",""))</f>
        <v/>
      </c>
      <c r="Y36" s="9" t="n"/>
    </row>
    <row r="37">
      <c r="A37" s="9" t="n"/>
      <c r="B37" s="9" t="n"/>
      <c r="C37" s="9" t="n"/>
      <c r="D37" s="9" t="n"/>
      <c r="E37" s="9" t="n"/>
      <c r="F37" s="9" t="n"/>
      <c r="G37" s="9" t="n"/>
      <c r="H37" s="9" t="n"/>
      <c r="I37" s="9" t="n"/>
      <c r="J37" s="9" t="n"/>
      <c r="K37" s="9" t="n"/>
      <c r="L37" s="9" t="n"/>
      <c r="M37" s="9" t="n"/>
      <c r="N37" s="8">
        <f>IF(COUNT(I37:M37)=5,SUM(I37:M37),"")</f>
        <v/>
      </c>
      <c r="O37" s="9">
        <f>IF(N37="","",IF(N37&gt;=16,"Priority",IF(N37&gt;=12,"Active",IF(N37&gt;=8,"Nurture / research","Park"))))</f>
        <v/>
      </c>
      <c r="P37" s="9" t="n"/>
      <c r="Q37" s="9" t="n"/>
      <c r="R37" s="9" t="n"/>
      <c r="S37" s="9" t="n"/>
      <c r="T37" s="9">
        <f>IF(OR(S37="",P37="Won",P37="Lost",P37="Disqualified"),"",IF(TODAY()&gt;S37,TODAY()-S37,0))</f>
        <v/>
      </c>
      <c r="U37" s="9" t="n"/>
      <c r="V37" s="9" t="n"/>
      <c r="W37" s="9" t="n"/>
      <c r="X37" s="9">
        <f>IF(C37="","",IF(COUNTIF($C$4:$C$403,C37)&gt;1,"DUPLICATE",""))</f>
        <v/>
      </c>
      <c r="Y37" s="9" t="n"/>
    </row>
    <row r="38">
      <c r="A38" s="9" t="n"/>
      <c r="B38" s="9" t="n"/>
      <c r="C38" s="9" t="n"/>
      <c r="D38" s="9" t="n"/>
      <c r="E38" s="9" t="n"/>
      <c r="F38" s="9" t="n"/>
      <c r="G38" s="9" t="n"/>
      <c r="H38" s="9" t="n"/>
      <c r="I38" s="9" t="n"/>
      <c r="J38" s="9" t="n"/>
      <c r="K38" s="9" t="n"/>
      <c r="L38" s="9" t="n"/>
      <c r="M38" s="9" t="n"/>
      <c r="N38" s="8">
        <f>IF(COUNT(I38:M38)=5,SUM(I38:M38),"")</f>
        <v/>
      </c>
      <c r="O38" s="9">
        <f>IF(N38="","",IF(N38&gt;=16,"Priority",IF(N38&gt;=12,"Active",IF(N38&gt;=8,"Nurture / research","Park"))))</f>
        <v/>
      </c>
      <c r="P38" s="9" t="n"/>
      <c r="Q38" s="9" t="n"/>
      <c r="R38" s="9" t="n"/>
      <c r="S38" s="9" t="n"/>
      <c r="T38" s="9">
        <f>IF(OR(S38="",P38="Won",P38="Lost",P38="Disqualified"),"",IF(TODAY()&gt;S38,TODAY()-S38,0))</f>
        <v/>
      </c>
      <c r="U38" s="9" t="n"/>
      <c r="V38" s="9" t="n"/>
      <c r="W38" s="9" t="n"/>
      <c r="X38" s="9">
        <f>IF(C38="","",IF(COUNTIF($C$4:$C$403,C38)&gt;1,"DUPLICATE",""))</f>
        <v/>
      </c>
      <c r="Y38" s="9" t="n"/>
    </row>
    <row r="39">
      <c r="A39" s="9" t="n"/>
      <c r="B39" s="9" t="n"/>
      <c r="C39" s="9" t="n"/>
      <c r="D39" s="9" t="n"/>
      <c r="E39" s="9" t="n"/>
      <c r="F39" s="9" t="n"/>
      <c r="G39" s="9" t="n"/>
      <c r="H39" s="9" t="n"/>
      <c r="I39" s="9" t="n"/>
      <c r="J39" s="9" t="n"/>
      <c r="K39" s="9" t="n"/>
      <c r="L39" s="9" t="n"/>
      <c r="M39" s="9" t="n"/>
      <c r="N39" s="8">
        <f>IF(COUNT(I39:M39)=5,SUM(I39:M39),"")</f>
        <v/>
      </c>
      <c r="O39" s="9">
        <f>IF(N39="","",IF(N39&gt;=16,"Priority",IF(N39&gt;=12,"Active",IF(N39&gt;=8,"Nurture / research","Park"))))</f>
        <v/>
      </c>
      <c r="P39" s="9" t="n"/>
      <c r="Q39" s="9" t="n"/>
      <c r="R39" s="9" t="n"/>
      <c r="S39" s="9" t="n"/>
      <c r="T39" s="9">
        <f>IF(OR(S39="",P39="Won",P39="Lost",P39="Disqualified"),"",IF(TODAY()&gt;S39,TODAY()-S39,0))</f>
        <v/>
      </c>
      <c r="U39" s="9" t="n"/>
      <c r="V39" s="9" t="n"/>
      <c r="W39" s="9" t="n"/>
      <c r="X39" s="9">
        <f>IF(C39="","",IF(COUNTIF($C$4:$C$403,C39)&gt;1,"DUPLICATE",""))</f>
        <v/>
      </c>
      <c r="Y39" s="9" t="n"/>
    </row>
    <row r="40">
      <c r="A40" s="9" t="n"/>
      <c r="B40" s="9" t="n"/>
      <c r="C40" s="9" t="n"/>
      <c r="D40" s="9" t="n"/>
      <c r="E40" s="9" t="n"/>
      <c r="F40" s="9" t="n"/>
      <c r="G40" s="9" t="n"/>
      <c r="H40" s="9" t="n"/>
      <c r="I40" s="9" t="n"/>
      <c r="J40" s="9" t="n"/>
      <c r="K40" s="9" t="n"/>
      <c r="L40" s="9" t="n"/>
      <c r="M40" s="9" t="n"/>
      <c r="N40" s="8">
        <f>IF(COUNT(I40:M40)=5,SUM(I40:M40),"")</f>
        <v/>
      </c>
      <c r="O40" s="9">
        <f>IF(N40="","",IF(N40&gt;=16,"Priority",IF(N40&gt;=12,"Active",IF(N40&gt;=8,"Nurture / research","Park"))))</f>
        <v/>
      </c>
      <c r="P40" s="9" t="n"/>
      <c r="Q40" s="9" t="n"/>
      <c r="R40" s="9" t="n"/>
      <c r="S40" s="9" t="n"/>
      <c r="T40" s="9">
        <f>IF(OR(S40="",P40="Won",P40="Lost",P40="Disqualified"),"",IF(TODAY()&gt;S40,TODAY()-S40,0))</f>
        <v/>
      </c>
      <c r="U40" s="9" t="n"/>
      <c r="V40" s="9" t="n"/>
      <c r="W40" s="9" t="n"/>
      <c r="X40" s="9">
        <f>IF(C40="","",IF(COUNTIF($C$4:$C$403,C40)&gt;1,"DUPLICATE",""))</f>
        <v/>
      </c>
      <c r="Y40" s="9" t="n"/>
    </row>
    <row r="41">
      <c r="A41" s="9" t="n"/>
      <c r="B41" s="9" t="n"/>
      <c r="C41" s="9" t="n"/>
      <c r="D41" s="9" t="n"/>
      <c r="E41" s="9" t="n"/>
      <c r="F41" s="9" t="n"/>
      <c r="G41" s="9" t="n"/>
      <c r="H41" s="9" t="n"/>
      <c r="I41" s="9" t="n"/>
      <c r="J41" s="9" t="n"/>
      <c r="K41" s="9" t="n"/>
      <c r="L41" s="9" t="n"/>
      <c r="M41" s="9" t="n"/>
      <c r="N41" s="8">
        <f>IF(COUNT(I41:M41)=5,SUM(I41:M41),"")</f>
        <v/>
      </c>
      <c r="O41" s="9">
        <f>IF(N41="","",IF(N41&gt;=16,"Priority",IF(N41&gt;=12,"Active",IF(N41&gt;=8,"Nurture / research","Park"))))</f>
        <v/>
      </c>
      <c r="P41" s="9" t="n"/>
      <c r="Q41" s="9" t="n"/>
      <c r="R41" s="9" t="n"/>
      <c r="S41" s="9" t="n"/>
      <c r="T41" s="9">
        <f>IF(OR(S41="",P41="Won",P41="Lost",P41="Disqualified"),"",IF(TODAY()&gt;S41,TODAY()-S41,0))</f>
        <v/>
      </c>
      <c r="U41" s="9" t="n"/>
      <c r="V41" s="9" t="n"/>
      <c r="W41" s="9" t="n"/>
      <c r="X41" s="9">
        <f>IF(C41="","",IF(COUNTIF($C$4:$C$403,C41)&gt;1,"DUPLICATE",""))</f>
        <v/>
      </c>
      <c r="Y41" s="9" t="n"/>
    </row>
    <row r="42">
      <c r="A42" s="9" t="n"/>
      <c r="B42" s="9" t="n"/>
      <c r="C42" s="9" t="n"/>
      <c r="D42" s="9" t="n"/>
      <c r="E42" s="9" t="n"/>
      <c r="F42" s="9" t="n"/>
      <c r="G42" s="9" t="n"/>
      <c r="H42" s="9" t="n"/>
      <c r="I42" s="9" t="n"/>
      <c r="J42" s="9" t="n"/>
      <c r="K42" s="9" t="n"/>
      <c r="L42" s="9" t="n"/>
      <c r="M42" s="9" t="n"/>
      <c r="N42" s="8">
        <f>IF(COUNT(I42:M42)=5,SUM(I42:M42),"")</f>
        <v/>
      </c>
      <c r="O42" s="9">
        <f>IF(N42="","",IF(N42&gt;=16,"Priority",IF(N42&gt;=12,"Active",IF(N42&gt;=8,"Nurture / research","Park"))))</f>
        <v/>
      </c>
      <c r="P42" s="9" t="n"/>
      <c r="Q42" s="9" t="n"/>
      <c r="R42" s="9" t="n"/>
      <c r="S42" s="9" t="n"/>
      <c r="T42" s="9">
        <f>IF(OR(S42="",P42="Won",P42="Lost",P42="Disqualified"),"",IF(TODAY()&gt;S42,TODAY()-S42,0))</f>
        <v/>
      </c>
      <c r="U42" s="9" t="n"/>
      <c r="V42" s="9" t="n"/>
      <c r="W42" s="9" t="n"/>
      <c r="X42" s="9">
        <f>IF(C42="","",IF(COUNTIF($C$4:$C$403,C42)&gt;1,"DUPLICATE",""))</f>
        <v/>
      </c>
      <c r="Y42" s="9" t="n"/>
    </row>
    <row r="43">
      <c r="A43" s="9" t="n"/>
      <c r="B43" s="9" t="n"/>
      <c r="C43" s="9" t="n"/>
      <c r="D43" s="9" t="n"/>
      <c r="E43" s="9" t="n"/>
      <c r="F43" s="9" t="n"/>
      <c r="G43" s="9" t="n"/>
      <c r="H43" s="9" t="n"/>
      <c r="I43" s="9" t="n"/>
      <c r="J43" s="9" t="n"/>
      <c r="K43" s="9" t="n"/>
      <c r="L43" s="9" t="n"/>
      <c r="M43" s="9" t="n"/>
      <c r="N43" s="8">
        <f>IF(COUNT(I43:M43)=5,SUM(I43:M43),"")</f>
        <v/>
      </c>
      <c r="O43" s="9">
        <f>IF(N43="","",IF(N43&gt;=16,"Priority",IF(N43&gt;=12,"Active",IF(N43&gt;=8,"Nurture / research","Park"))))</f>
        <v/>
      </c>
      <c r="P43" s="9" t="n"/>
      <c r="Q43" s="9" t="n"/>
      <c r="R43" s="9" t="n"/>
      <c r="S43" s="9" t="n"/>
      <c r="T43" s="9">
        <f>IF(OR(S43="",P43="Won",P43="Lost",P43="Disqualified"),"",IF(TODAY()&gt;S43,TODAY()-S43,0))</f>
        <v/>
      </c>
      <c r="U43" s="9" t="n"/>
      <c r="V43" s="9" t="n"/>
      <c r="W43" s="9" t="n"/>
      <c r="X43" s="9">
        <f>IF(C43="","",IF(COUNTIF($C$4:$C$403,C43)&gt;1,"DUPLICATE",""))</f>
        <v/>
      </c>
      <c r="Y43" s="9" t="n"/>
    </row>
    <row r="44">
      <c r="A44" s="9" t="n"/>
      <c r="B44" s="9" t="n"/>
      <c r="C44" s="9" t="n"/>
      <c r="D44" s="9" t="n"/>
      <c r="E44" s="9" t="n"/>
      <c r="F44" s="9" t="n"/>
      <c r="G44" s="9" t="n"/>
      <c r="H44" s="9" t="n"/>
      <c r="I44" s="9" t="n"/>
      <c r="J44" s="9" t="n"/>
      <c r="K44" s="9" t="n"/>
      <c r="L44" s="9" t="n"/>
      <c r="M44" s="9" t="n"/>
      <c r="N44" s="8">
        <f>IF(COUNT(I44:M44)=5,SUM(I44:M44),"")</f>
        <v/>
      </c>
      <c r="O44" s="9">
        <f>IF(N44="","",IF(N44&gt;=16,"Priority",IF(N44&gt;=12,"Active",IF(N44&gt;=8,"Nurture / research","Park"))))</f>
        <v/>
      </c>
      <c r="P44" s="9" t="n"/>
      <c r="Q44" s="9" t="n"/>
      <c r="R44" s="9" t="n"/>
      <c r="S44" s="9" t="n"/>
      <c r="T44" s="9">
        <f>IF(OR(S44="",P44="Won",P44="Lost",P44="Disqualified"),"",IF(TODAY()&gt;S44,TODAY()-S44,0))</f>
        <v/>
      </c>
      <c r="U44" s="9" t="n"/>
      <c r="V44" s="9" t="n"/>
      <c r="W44" s="9" t="n"/>
      <c r="X44" s="9">
        <f>IF(C44="","",IF(COUNTIF($C$4:$C$403,C44)&gt;1,"DUPLICATE",""))</f>
        <v/>
      </c>
      <c r="Y44" s="9" t="n"/>
    </row>
    <row r="45">
      <c r="A45" s="9" t="n"/>
      <c r="B45" s="9" t="n"/>
      <c r="C45" s="9" t="n"/>
      <c r="D45" s="9" t="n"/>
      <c r="E45" s="9" t="n"/>
      <c r="F45" s="9" t="n"/>
      <c r="G45" s="9" t="n"/>
      <c r="H45" s="9" t="n"/>
      <c r="I45" s="9" t="n"/>
      <c r="J45" s="9" t="n"/>
      <c r="K45" s="9" t="n"/>
      <c r="L45" s="9" t="n"/>
      <c r="M45" s="9" t="n"/>
      <c r="N45" s="8">
        <f>IF(COUNT(I45:M45)=5,SUM(I45:M45),"")</f>
        <v/>
      </c>
      <c r="O45" s="9">
        <f>IF(N45="","",IF(N45&gt;=16,"Priority",IF(N45&gt;=12,"Active",IF(N45&gt;=8,"Nurture / research","Park"))))</f>
        <v/>
      </c>
      <c r="P45" s="9" t="n"/>
      <c r="Q45" s="9" t="n"/>
      <c r="R45" s="9" t="n"/>
      <c r="S45" s="9" t="n"/>
      <c r="T45" s="9">
        <f>IF(OR(S45="",P45="Won",P45="Lost",P45="Disqualified"),"",IF(TODAY()&gt;S45,TODAY()-S45,0))</f>
        <v/>
      </c>
      <c r="U45" s="9" t="n"/>
      <c r="V45" s="9" t="n"/>
      <c r="W45" s="9" t="n"/>
      <c r="X45" s="9">
        <f>IF(C45="","",IF(COUNTIF($C$4:$C$403,C45)&gt;1,"DUPLICATE",""))</f>
        <v/>
      </c>
      <c r="Y45" s="9" t="n"/>
    </row>
    <row r="46">
      <c r="A46" s="9" t="n"/>
      <c r="B46" s="9" t="n"/>
      <c r="C46" s="9" t="n"/>
      <c r="D46" s="9" t="n"/>
      <c r="E46" s="9" t="n"/>
      <c r="F46" s="9" t="n"/>
      <c r="G46" s="9" t="n"/>
      <c r="H46" s="9" t="n"/>
      <c r="I46" s="9" t="n"/>
      <c r="J46" s="9" t="n"/>
      <c r="K46" s="9" t="n"/>
      <c r="L46" s="9" t="n"/>
      <c r="M46" s="9" t="n"/>
      <c r="N46" s="8">
        <f>IF(COUNT(I46:M46)=5,SUM(I46:M46),"")</f>
        <v/>
      </c>
      <c r="O46" s="9">
        <f>IF(N46="","",IF(N46&gt;=16,"Priority",IF(N46&gt;=12,"Active",IF(N46&gt;=8,"Nurture / research","Park"))))</f>
        <v/>
      </c>
      <c r="P46" s="9" t="n"/>
      <c r="Q46" s="9" t="n"/>
      <c r="R46" s="9" t="n"/>
      <c r="S46" s="9" t="n"/>
      <c r="T46" s="9">
        <f>IF(OR(S46="",P46="Won",P46="Lost",P46="Disqualified"),"",IF(TODAY()&gt;S46,TODAY()-S46,0))</f>
        <v/>
      </c>
      <c r="U46" s="9" t="n"/>
      <c r="V46" s="9" t="n"/>
      <c r="W46" s="9" t="n"/>
      <c r="X46" s="9">
        <f>IF(C46="","",IF(COUNTIF($C$4:$C$403,C46)&gt;1,"DUPLICATE",""))</f>
        <v/>
      </c>
      <c r="Y46" s="9" t="n"/>
    </row>
    <row r="47">
      <c r="A47" s="9" t="n"/>
      <c r="B47" s="9" t="n"/>
      <c r="C47" s="9" t="n"/>
      <c r="D47" s="9" t="n"/>
      <c r="E47" s="9" t="n"/>
      <c r="F47" s="9" t="n"/>
      <c r="G47" s="9" t="n"/>
      <c r="H47" s="9" t="n"/>
      <c r="I47" s="9" t="n"/>
      <c r="J47" s="9" t="n"/>
      <c r="K47" s="9" t="n"/>
      <c r="L47" s="9" t="n"/>
      <c r="M47" s="9" t="n"/>
      <c r="N47" s="8">
        <f>IF(COUNT(I47:M47)=5,SUM(I47:M47),"")</f>
        <v/>
      </c>
      <c r="O47" s="9">
        <f>IF(N47="","",IF(N47&gt;=16,"Priority",IF(N47&gt;=12,"Active",IF(N47&gt;=8,"Nurture / research","Park"))))</f>
        <v/>
      </c>
      <c r="P47" s="9" t="n"/>
      <c r="Q47" s="9" t="n"/>
      <c r="R47" s="9" t="n"/>
      <c r="S47" s="9" t="n"/>
      <c r="T47" s="9">
        <f>IF(OR(S47="",P47="Won",P47="Lost",P47="Disqualified"),"",IF(TODAY()&gt;S47,TODAY()-S47,0))</f>
        <v/>
      </c>
      <c r="U47" s="9" t="n"/>
      <c r="V47" s="9" t="n"/>
      <c r="W47" s="9" t="n"/>
      <c r="X47" s="9">
        <f>IF(C47="","",IF(COUNTIF($C$4:$C$403,C47)&gt;1,"DUPLICATE",""))</f>
        <v/>
      </c>
      <c r="Y47" s="9" t="n"/>
    </row>
    <row r="48">
      <c r="A48" s="9" t="n"/>
      <c r="B48" s="9" t="n"/>
      <c r="C48" s="9" t="n"/>
      <c r="D48" s="9" t="n"/>
      <c r="E48" s="9" t="n"/>
      <c r="F48" s="9" t="n"/>
      <c r="G48" s="9" t="n"/>
      <c r="H48" s="9" t="n"/>
      <c r="I48" s="9" t="n"/>
      <c r="J48" s="9" t="n"/>
      <c r="K48" s="9" t="n"/>
      <c r="L48" s="9" t="n"/>
      <c r="M48" s="9" t="n"/>
      <c r="N48" s="8">
        <f>IF(COUNT(I48:M48)=5,SUM(I48:M48),"")</f>
        <v/>
      </c>
      <c r="O48" s="9">
        <f>IF(N48="","",IF(N48&gt;=16,"Priority",IF(N48&gt;=12,"Active",IF(N48&gt;=8,"Nurture / research","Park"))))</f>
        <v/>
      </c>
      <c r="P48" s="9" t="n"/>
      <c r="Q48" s="9" t="n"/>
      <c r="R48" s="9" t="n"/>
      <c r="S48" s="9" t="n"/>
      <c r="T48" s="9">
        <f>IF(OR(S48="",P48="Won",P48="Lost",P48="Disqualified"),"",IF(TODAY()&gt;S48,TODAY()-S48,0))</f>
        <v/>
      </c>
      <c r="U48" s="9" t="n"/>
      <c r="V48" s="9" t="n"/>
      <c r="W48" s="9" t="n"/>
      <c r="X48" s="9">
        <f>IF(C48="","",IF(COUNTIF($C$4:$C$403,C48)&gt;1,"DUPLICATE",""))</f>
        <v/>
      </c>
      <c r="Y48" s="9" t="n"/>
    </row>
    <row r="49">
      <c r="A49" s="9" t="n"/>
      <c r="B49" s="9" t="n"/>
      <c r="C49" s="9" t="n"/>
      <c r="D49" s="9" t="n"/>
      <c r="E49" s="9" t="n"/>
      <c r="F49" s="9" t="n"/>
      <c r="G49" s="9" t="n"/>
      <c r="H49" s="9" t="n"/>
      <c r="I49" s="9" t="n"/>
      <c r="J49" s="9" t="n"/>
      <c r="K49" s="9" t="n"/>
      <c r="L49" s="9" t="n"/>
      <c r="M49" s="9" t="n"/>
      <c r="N49" s="8">
        <f>IF(COUNT(I49:M49)=5,SUM(I49:M49),"")</f>
        <v/>
      </c>
      <c r="O49" s="9">
        <f>IF(N49="","",IF(N49&gt;=16,"Priority",IF(N49&gt;=12,"Active",IF(N49&gt;=8,"Nurture / research","Park"))))</f>
        <v/>
      </c>
      <c r="P49" s="9" t="n"/>
      <c r="Q49" s="9" t="n"/>
      <c r="R49" s="9" t="n"/>
      <c r="S49" s="9" t="n"/>
      <c r="T49" s="9">
        <f>IF(OR(S49="",P49="Won",P49="Lost",P49="Disqualified"),"",IF(TODAY()&gt;S49,TODAY()-S49,0))</f>
        <v/>
      </c>
      <c r="U49" s="9" t="n"/>
      <c r="V49" s="9" t="n"/>
      <c r="W49" s="9" t="n"/>
      <c r="X49" s="9">
        <f>IF(C49="","",IF(COUNTIF($C$4:$C$403,C49)&gt;1,"DUPLICATE",""))</f>
        <v/>
      </c>
      <c r="Y49" s="9" t="n"/>
    </row>
    <row r="50">
      <c r="A50" s="9" t="n"/>
      <c r="B50" s="9" t="n"/>
      <c r="C50" s="9" t="n"/>
      <c r="D50" s="9" t="n"/>
      <c r="E50" s="9" t="n"/>
      <c r="F50" s="9" t="n"/>
      <c r="G50" s="9" t="n"/>
      <c r="H50" s="9" t="n"/>
      <c r="I50" s="9" t="n"/>
      <c r="J50" s="9" t="n"/>
      <c r="K50" s="9" t="n"/>
      <c r="L50" s="9" t="n"/>
      <c r="M50" s="9" t="n"/>
      <c r="N50" s="8">
        <f>IF(COUNT(I50:M50)=5,SUM(I50:M50),"")</f>
        <v/>
      </c>
      <c r="O50" s="9">
        <f>IF(N50="","",IF(N50&gt;=16,"Priority",IF(N50&gt;=12,"Active",IF(N50&gt;=8,"Nurture / research","Park"))))</f>
        <v/>
      </c>
      <c r="P50" s="9" t="n"/>
      <c r="Q50" s="9" t="n"/>
      <c r="R50" s="9" t="n"/>
      <c r="S50" s="9" t="n"/>
      <c r="T50" s="9">
        <f>IF(OR(S50="",P50="Won",P50="Lost",P50="Disqualified"),"",IF(TODAY()&gt;S50,TODAY()-S50,0))</f>
        <v/>
      </c>
      <c r="U50" s="9" t="n"/>
      <c r="V50" s="9" t="n"/>
      <c r="W50" s="9" t="n"/>
      <c r="X50" s="9">
        <f>IF(C50="","",IF(COUNTIF($C$4:$C$403,C50)&gt;1,"DUPLICATE",""))</f>
        <v/>
      </c>
      <c r="Y50" s="9" t="n"/>
    </row>
    <row r="51">
      <c r="A51" s="9" t="n"/>
      <c r="B51" s="9" t="n"/>
      <c r="C51" s="9" t="n"/>
      <c r="D51" s="9" t="n"/>
      <c r="E51" s="9" t="n"/>
      <c r="F51" s="9" t="n"/>
      <c r="G51" s="9" t="n"/>
      <c r="H51" s="9" t="n"/>
      <c r="I51" s="9" t="n"/>
      <c r="J51" s="9" t="n"/>
      <c r="K51" s="9" t="n"/>
      <c r="L51" s="9" t="n"/>
      <c r="M51" s="9" t="n"/>
      <c r="N51" s="8">
        <f>IF(COUNT(I51:M51)=5,SUM(I51:M51),"")</f>
        <v/>
      </c>
      <c r="O51" s="9">
        <f>IF(N51="","",IF(N51&gt;=16,"Priority",IF(N51&gt;=12,"Active",IF(N51&gt;=8,"Nurture / research","Park"))))</f>
        <v/>
      </c>
      <c r="P51" s="9" t="n"/>
      <c r="Q51" s="9" t="n"/>
      <c r="R51" s="9" t="n"/>
      <c r="S51" s="9" t="n"/>
      <c r="T51" s="9">
        <f>IF(OR(S51="",P51="Won",P51="Lost",P51="Disqualified"),"",IF(TODAY()&gt;S51,TODAY()-S51,0))</f>
        <v/>
      </c>
      <c r="U51" s="9" t="n"/>
      <c r="V51" s="9" t="n"/>
      <c r="W51" s="9" t="n"/>
      <c r="X51" s="9">
        <f>IF(C51="","",IF(COUNTIF($C$4:$C$403,C51)&gt;1,"DUPLICATE",""))</f>
        <v/>
      </c>
      <c r="Y51" s="9" t="n"/>
    </row>
    <row r="52">
      <c r="A52" s="9" t="n"/>
      <c r="B52" s="9" t="n"/>
      <c r="C52" s="9" t="n"/>
      <c r="D52" s="9" t="n"/>
      <c r="E52" s="9" t="n"/>
      <c r="F52" s="9" t="n"/>
      <c r="G52" s="9" t="n"/>
      <c r="H52" s="9" t="n"/>
      <c r="I52" s="9" t="n"/>
      <c r="J52" s="9" t="n"/>
      <c r="K52" s="9" t="n"/>
      <c r="L52" s="9" t="n"/>
      <c r="M52" s="9" t="n"/>
      <c r="N52" s="8">
        <f>IF(COUNT(I52:M52)=5,SUM(I52:M52),"")</f>
        <v/>
      </c>
      <c r="O52" s="9">
        <f>IF(N52="","",IF(N52&gt;=16,"Priority",IF(N52&gt;=12,"Active",IF(N52&gt;=8,"Nurture / research","Park"))))</f>
        <v/>
      </c>
      <c r="P52" s="9" t="n"/>
      <c r="Q52" s="9" t="n"/>
      <c r="R52" s="9" t="n"/>
      <c r="S52" s="9" t="n"/>
      <c r="T52" s="9">
        <f>IF(OR(S52="",P52="Won",P52="Lost",P52="Disqualified"),"",IF(TODAY()&gt;S52,TODAY()-S52,0))</f>
        <v/>
      </c>
      <c r="U52" s="9" t="n"/>
      <c r="V52" s="9" t="n"/>
      <c r="W52" s="9" t="n"/>
      <c r="X52" s="9">
        <f>IF(C52="","",IF(COUNTIF($C$4:$C$403,C52)&gt;1,"DUPLICATE",""))</f>
        <v/>
      </c>
      <c r="Y52" s="9" t="n"/>
    </row>
    <row r="53">
      <c r="A53" s="9" t="n"/>
      <c r="B53" s="9" t="n"/>
      <c r="C53" s="9" t="n"/>
      <c r="D53" s="9" t="n"/>
      <c r="E53" s="9" t="n"/>
      <c r="F53" s="9" t="n"/>
      <c r="G53" s="9" t="n"/>
      <c r="H53" s="9" t="n"/>
      <c r="I53" s="9" t="n"/>
      <c r="J53" s="9" t="n"/>
      <c r="K53" s="9" t="n"/>
      <c r="L53" s="9" t="n"/>
      <c r="M53" s="9" t="n"/>
      <c r="N53" s="8">
        <f>IF(COUNT(I53:M53)=5,SUM(I53:M53),"")</f>
        <v/>
      </c>
      <c r="O53" s="9">
        <f>IF(N53="","",IF(N53&gt;=16,"Priority",IF(N53&gt;=12,"Active",IF(N53&gt;=8,"Nurture / research","Park"))))</f>
        <v/>
      </c>
      <c r="P53" s="9" t="n"/>
      <c r="Q53" s="9" t="n"/>
      <c r="R53" s="9" t="n"/>
      <c r="S53" s="9" t="n"/>
      <c r="T53" s="9">
        <f>IF(OR(S53="",P53="Won",P53="Lost",P53="Disqualified"),"",IF(TODAY()&gt;S53,TODAY()-S53,0))</f>
        <v/>
      </c>
      <c r="U53" s="9" t="n"/>
      <c r="V53" s="9" t="n"/>
      <c r="W53" s="9" t="n"/>
      <c r="X53" s="9">
        <f>IF(C53="","",IF(COUNTIF($C$4:$C$403,C53)&gt;1,"DUPLICATE",""))</f>
        <v/>
      </c>
      <c r="Y53" s="9" t="n"/>
    </row>
    <row r="54">
      <c r="A54" s="9" t="n"/>
      <c r="B54" s="9" t="n"/>
      <c r="C54" s="9" t="n"/>
      <c r="D54" s="9" t="n"/>
      <c r="E54" s="9" t="n"/>
      <c r="F54" s="9" t="n"/>
      <c r="G54" s="9" t="n"/>
      <c r="H54" s="9" t="n"/>
      <c r="I54" s="9" t="n"/>
      <c r="J54" s="9" t="n"/>
      <c r="K54" s="9" t="n"/>
      <c r="L54" s="9" t="n"/>
      <c r="M54" s="9" t="n"/>
      <c r="N54" s="8">
        <f>IF(COUNT(I54:M54)=5,SUM(I54:M54),"")</f>
        <v/>
      </c>
      <c r="O54" s="9">
        <f>IF(N54="","",IF(N54&gt;=16,"Priority",IF(N54&gt;=12,"Active",IF(N54&gt;=8,"Nurture / research","Park"))))</f>
        <v/>
      </c>
      <c r="P54" s="9" t="n"/>
      <c r="Q54" s="9" t="n"/>
      <c r="R54" s="9" t="n"/>
      <c r="S54" s="9" t="n"/>
      <c r="T54" s="9">
        <f>IF(OR(S54="",P54="Won",P54="Lost",P54="Disqualified"),"",IF(TODAY()&gt;S54,TODAY()-S54,0))</f>
        <v/>
      </c>
      <c r="U54" s="9" t="n"/>
      <c r="V54" s="9" t="n"/>
      <c r="W54" s="9" t="n"/>
      <c r="X54" s="9">
        <f>IF(C54="","",IF(COUNTIF($C$4:$C$403,C54)&gt;1,"DUPLICATE",""))</f>
        <v/>
      </c>
      <c r="Y54" s="9" t="n"/>
    </row>
    <row r="55">
      <c r="A55" s="9" t="n"/>
      <c r="B55" s="9" t="n"/>
      <c r="C55" s="9" t="n"/>
      <c r="D55" s="9" t="n"/>
      <c r="E55" s="9" t="n"/>
      <c r="F55" s="9" t="n"/>
      <c r="G55" s="9" t="n"/>
      <c r="H55" s="9" t="n"/>
      <c r="I55" s="9" t="n"/>
      <c r="J55" s="9" t="n"/>
      <c r="K55" s="9" t="n"/>
      <c r="L55" s="9" t="n"/>
      <c r="M55" s="9" t="n"/>
      <c r="N55" s="8">
        <f>IF(COUNT(I55:M55)=5,SUM(I55:M55),"")</f>
        <v/>
      </c>
      <c r="O55" s="9">
        <f>IF(N55="","",IF(N55&gt;=16,"Priority",IF(N55&gt;=12,"Active",IF(N55&gt;=8,"Nurture / research","Park"))))</f>
        <v/>
      </c>
      <c r="P55" s="9" t="n"/>
      <c r="Q55" s="9" t="n"/>
      <c r="R55" s="9" t="n"/>
      <c r="S55" s="9" t="n"/>
      <c r="T55" s="9">
        <f>IF(OR(S55="",P55="Won",P55="Lost",P55="Disqualified"),"",IF(TODAY()&gt;S55,TODAY()-S55,0))</f>
        <v/>
      </c>
      <c r="U55" s="9" t="n"/>
      <c r="V55" s="9" t="n"/>
      <c r="W55" s="9" t="n"/>
      <c r="X55" s="9">
        <f>IF(C55="","",IF(COUNTIF($C$4:$C$403,C55)&gt;1,"DUPLICATE",""))</f>
        <v/>
      </c>
      <c r="Y55" s="9" t="n"/>
    </row>
    <row r="56">
      <c r="A56" s="9" t="n"/>
      <c r="B56" s="9" t="n"/>
      <c r="C56" s="9" t="n"/>
      <c r="D56" s="9" t="n"/>
      <c r="E56" s="9" t="n"/>
      <c r="F56" s="9" t="n"/>
      <c r="G56" s="9" t="n"/>
      <c r="H56" s="9" t="n"/>
      <c r="I56" s="9" t="n"/>
      <c r="J56" s="9" t="n"/>
      <c r="K56" s="9" t="n"/>
      <c r="L56" s="9" t="n"/>
      <c r="M56" s="9" t="n"/>
      <c r="N56" s="8">
        <f>IF(COUNT(I56:M56)=5,SUM(I56:M56),"")</f>
        <v/>
      </c>
      <c r="O56" s="9">
        <f>IF(N56="","",IF(N56&gt;=16,"Priority",IF(N56&gt;=12,"Active",IF(N56&gt;=8,"Nurture / research","Park"))))</f>
        <v/>
      </c>
      <c r="P56" s="9" t="n"/>
      <c r="Q56" s="9" t="n"/>
      <c r="R56" s="9" t="n"/>
      <c r="S56" s="9" t="n"/>
      <c r="T56" s="9">
        <f>IF(OR(S56="",P56="Won",P56="Lost",P56="Disqualified"),"",IF(TODAY()&gt;S56,TODAY()-S56,0))</f>
        <v/>
      </c>
      <c r="U56" s="9" t="n"/>
      <c r="V56" s="9" t="n"/>
      <c r="W56" s="9" t="n"/>
      <c r="X56" s="9">
        <f>IF(C56="","",IF(COUNTIF($C$4:$C$403,C56)&gt;1,"DUPLICATE",""))</f>
        <v/>
      </c>
      <c r="Y56" s="9" t="n"/>
    </row>
    <row r="57">
      <c r="A57" s="9" t="n"/>
      <c r="B57" s="9" t="n"/>
      <c r="C57" s="9" t="n"/>
      <c r="D57" s="9" t="n"/>
      <c r="E57" s="9" t="n"/>
      <c r="F57" s="9" t="n"/>
      <c r="G57" s="9" t="n"/>
      <c r="H57" s="9" t="n"/>
      <c r="I57" s="9" t="n"/>
      <c r="J57" s="9" t="n"/>
      <c r="K57" s="9" t="n"/>
      <c r="L57" s="9" t="n"/>
      <c r="M57" s="9" t="n"/>
      <c r="N57" s="8">
        <f>IF(COUNT(I57:M57)=5,SUM(I57:M57),"")</f>
        <v/>
      </c>
      <c r="O57" s="9">
        <f>IF(N57="","",IF(N57&gt;=16,"Priority",IF(N57&gt;=12,"Active",IF(N57&gt;=8,"Nurture / research","Park"))))</f>
        <v/>
      </c>
      <c r="P57" s="9" t="n"/>
      <c r="Q57" s="9" t="n"/>
      <c r="R57" s="9" t="n"/>
      <c r="S57" s="9" t="n"/>
      <c r="T57" s="9">
        <f>IF(OR(S57="",P57="Won",P57="Lost",P57="Disqualified"),"",IF(TODAY()&gt;S57,TODAY()-S57,0))</f>
        <v/>
      </c>
      <c r="U57" s="9" t="n"/>
      <c r="V57" s="9" t="n"/>
      <c r="W57" s="9" t="n"/>
      <c r="X57" s="9">
        <f>IF(C57="","",IF(COUNTIF($C$4:$C$403,C57)&gt;1,"DUPLICATE",""))</f>
        <v/>
      </c>
      <c r="Y57" s="9" t="n"/>
    </row>
    <row r="58">
      <c r="A58" s="9" t="n"/>
      <c r="B58" s="9" t="n"/>
      <c r="C58" s="9" t="n"/>
      <c r="D58" s="9" t="n"/>
      <c r="E58" s="9" t="n"/>
      <c r="F58" s="9" t="n"/>
      <c r="G58" s="9" t="n"/>
      <c r="H58" s="9" t="n"/>
      <c r="I58" s="9" t="n"/>
      <c r="J58" s="9" t="n"/>
      <c r="K58" s="9" t="n"/>
      <c r="L58" s="9" t="n"/>
      <c r="M58" s="9" t="n"/>
      <c r="N58" s="8">
        <f>IF(COUNT(I58:M58)=5,SUM(I58:M58),"")</f>
        <v/>
      </c>
      <c r="O58" s="9">
        <f>IF(N58="","",IF(N58&gt;=16,"Priority",IF(N58&gt;=12,"Active",IF(N58&gt;=8,"Nurture / research","Park"))))</f>
        <v/>
      </c>
      <c r="P58" s="9" t="n"/>
      <c r="Q58" s="9" t="n"/>
      <c r="R58" s="9" t="n"/>
      <c r="S58" s="9" t="n"/>
      <c r="T58" s="9">
        <f>IF(OR(S58="",P58="Won",P58="Lost",P58="Disqualified"),"",IF(TODAY()&gt;S58,TODAY()-S58,0))</f>
        <v/>
      </c>
      <c r="U58" s="9" t="n"/>
      <c r="V58" s="9" t="n"/>
      <c r="W58" s="9" t="n"/>
      <c r="X58" s="9">
        <f>IF(C58="","",IF(COUNTIF($C$4:$C$403,C58)&gt;1,"DUPLICATE",""))</f>
        <v/>
      </c>
      <c r="Y58" s="9" t="n"/>
    </row>
    <row r="59">
      <c r="A59" s="9" t="n"/>
      <c r="B59" s="9" t="n"/>
      <c r="C59" s="9" t="n"/>
      <c r="D59" s="9" t="n"/>
      <c r="E59" s="9" t="n"/>
      <c r="F59" s="9" t="n"/>
      <c r="G59" s="9" t="n"/>
      <c r="H59" s="9" t="n"/>
      <c r="I59" s="9" t="n"/>
      <c r="J59" s="9" t="n"/>
      <c r="K59" s="9" t="n"/>
      <c r="L59" s="9" t="n"/>
      <c r="M59" s="9" t="n"/>
      <c r="N59" s="8">
        <f>IF(COUNT(I59:M59)=5,SUM(I59:M59),"")</f>
        <v/>
      </c>
      <c r="O59" s="9">
        <f>IF(N59="","",IF(N59&gt;=16,"Priority",IF(N59&gt;=12,"Active",IF(N59&gt;=8,"Nurture / research","Park"))))</f>
        <v/>
      </c>
      <c r="P59" s="9" t="n"/>
      <c r="Q59" s="9" t="n"/>
      <c r="R59" s="9" t="n"/>
      <c r="S59" s="9" t="n"/>
      <c r="T59" s="9">
        <f>IF(OR(S59="",P59="Won",P59="Lost",P59="Disqualified"),"",IF(TODAY()&gt;S59,TODAY()-S59,0))</f>
        <v/>
      </c>
      <c r="U59" s="9" t="n"/>
      <c r="V59" s="9" t="n"/>
      <c r="W59" s="9" t="n"/>
      <c r="X59" s="9">
        <f>IF(C59="","",IF(COUNTIF($C$4:$C$403,C59)&gt;1,"DUPLICATE",""))</f>
        <v/>
      </c>
      <c r="Y59" s="9" t="n"/>
    </row>
    <row r="60">
      <c r="A60" s="9" t="n"/>
      <c r="B60" s="9" t="n"/>
      <c r="C60" s="9" t="n"/>
      <c r="D60" s="9" t="n"/>
      <c r="E60" s="9" t="n"/>
      <c r="F60" s="9" t="n"/>
      <c r="G60" s="9" t="n"/>
      <c r="H60" s="9" t="n"/>
      <c r="I60" s="9" t="n"/>
      <c r="J60" s="9" t="n"/>
      <c r="K60" s="9" t="n"/>
      <c r="L60" s="9" t="n"/>
      <c r="M60" s="9" t="n"/>
      <c r="N60" s="8">
        <f>IF(COUNT(I60:M60)=5,SUM(I60:M60),"")</f>
        <v/>
      </c>
      <c r="O60" s="9">
        <f>IF(N60="","",IF(N60&gt;=16,"Priority",IF(N60&gt;=12,"Active",IF(N60&gt;=8,"Nurture / research","Park"))))</f>
        <v/>
      </c>
      <c r="P60" s="9" t="n"/>
      <c r="Q60" s="9" t="n"/>
      <c r="R60" s="9" t="n"/>
      <c r="S60" s="9" t="n"/>
      <c r="T60" s="9">
        <f>IF(OR(S60="",P60="Won",P60="Lost",P60="Disqualified"),"",IF(TODAY()&gt;S60,TODAY()-S60,0))</f>
        <v/>
      </c>
      <c r="U60" s="9" t="n"/>
      <c r="V60" s="9" t="n"/>
      <c r="W60" s="9" t="n"/>
      <c r="X60" s="9">
        <f>IF(C60="","",IF(COUNTIF($C$4:$C$403,C60)&gt;1,"DUPLICATE",""))</f>
        <v/>
      </c>
      <c r="Y60" s="9" t="n"/>
    </row>
    <row r="61">
      <c r="A61" s="9" t="n"/>
      <c r="B61" s="9" t="n"/>
      <c r="C61" s="9" t="n"/>
      <c r="D61" s="9" t="n"/>
      <c r="E61" s="9" t="n"/>
      <c r="F61" s="9" t="n"/>
      <c r="G61" s="9" t="n"/>
      <c r="H61" s="9" t="n"/>
      <c r="I61" s="9" t="n"/>
      <c r="J61" s="9" t="n"/>
      <c r="K61" s="9" t="n"/>
      <c r="L61" s="9" t="n"/>
      <c r="M61" s="9" t="n"/>
      <c r="N61" s="8">
        <f>IF(COUNT(I61:M61)=5,SUM(I61:M61),"")</f>
        <v/>
      </c>
      <c r="O61" s="9">
        <f>IF(N61="","",IF(N61&gt;=16,"Priority",IF(N61&gt;=12,"Active",IF(N61&gt;=8,"Nurture / research","Park"))))</f>
        <v/>
      </c>
      <c r="P61" s="9" t="n"/>
      <c r="Q61" s="9" t="n"/>
      <c r="R61" s="9" t="n"/>
      <c r="S61" s="9" t="n"/>
      <c r="T61" s="9">
        <f>IF(OR(S61="",P61="Won",P61="Lost",P61="Disqualified"),"",IF(TODAY()&gt;S61,TODAY()-S61,0))</f>
        <v/>
      </c>
      <c r="U61" s="9" t="n"/>
      <c r="V61" s="9" t="n"/>
      <c r="W61" s="9" t="n"/>
      <c r="X61" s="9">
        <f>IF(C61="","",IF(COUNTIF($C$4:$C$403,C61)&gt;1,"DUPLICATE",""))</f>
        <v/>
      </c>
      <c r="Y61" s="9" t="n"/>
    </row>
    <row r="62">
      <c r="A62" s="9" t="n"/>
      <c r="B62" s="9" t="n"/>
      <c r="C62" s="9" t="n"/>
      <c r="D62" s="9" t="n"/>
      <c r="E62" s="9" t="n"/>
      <c r="F62" s="9" t="n"/>
      <c r="G62" s="9" t="n"/>
      <c r="H62" s="9" t="n"/>
      <c r="I62" s="9" t="n"/>
      <c r="J62" s="9" t="n"/>
      <c r="K62" s="9" t="n"/>
      <c r="L62" s="9" t="n"/>
      <c r="M62" s="9" t="n"/>
      <c r="N62" s="8">
        <f>IF(COUNT(I62:M62)=5,SUM(I62:M62),"")</f>
        <v/>
      </c>
      <c r="O62" s="9">
        <f>IF(N62="","",IF(N62&gt;=16,"Priority",IF(N62&gt;=12,"Active",IF(N62&gt;=8,"Nurture / research","Park"))))</f>
        <v/>
      </c>
      <c r="P62" s="9" t="n"/>
      <c r="Q62" s="9" t="n"/>
      <c r="R62" s="9" t="n"/>
      <c r="S62" s="9" t="n"/>
      <c r="T62" s="9">
        <f>IF(OR(S62="",P62="Won",P62="Lost",P62="Disqualified"),"",IF(TODAY()&gt;S62,TODAY()-S62,0))</f>
        <v/>
      </c>
      <c r="U62" s="9" t="n"/>
      <c r="V62" s="9" t="n"/>
      <c r="W62" s="9" t="n"/>
      <c r="X62" s="9">
        <f>IF(C62="","",IF(COUNTIF($C$4:$C$403,C62)&gt;1,"DUPLICATE",""))</f>
        <v/>
      </c>
      <c r="Y62" s="9" t="n"/>
    </row>
    <row r="63">
      <c r="A63" s="9" t="n"/>
      <c r="B63" s="9" t="n"/>
      <c r="C63" s="9" t="n"/>
      <c r="D63" s="9" t="n"/>
      <c r="E63" s="9" t="n"/>
      <c r="F63" s="9" t="n"/>
      <c r="G63" s="9" t="n"/>
      <c r="H63" s="9" t="n"/>
      <c r="I63" s="9" t="n"/>
      <c r="J63" s="9" t="n"/>
      <c r="K63" s="9" t="n"/>
      <c r="L63" s="9" t="n"/>
      <c r="M63" s="9" t="n"/>
      <c r="N63" s="8">
        <f>IF(COUNT(I63:M63)=5,SUM(I63:M63),"")</f>
        <v/>
      </c>
      <c r="O63" s="9">
        <f>IF(N63="","",IF(N63&gt;=16,"Priority",IF(N63&gt;=12,"Active",IF(N63&gt;=8,"Nurture / research","Park"))))</f>
        <v/>
      </c>
      <c r="P63" s="9" t="n"/>
      <c r="Q63" s="9" t="n"/>
      <c r="R63" s="9" t="n"/>
      <c r="S63" s="9" t="n"/>
      <c r="T63" s="9">
        <f>IF(OR(S63="",P63="Won",P63="Lost",P63="Disqualified"),"",IF(TODAY()&gt;S63,TODAY()-S63,0))</f>
        <v/>
      </c>
      <c r="U63" s="9" t="n"/>
      <c r="V63" s="9" t="n"/>
      <c r="W63" s="9" t="n"/>
      <c r="X63" s="9">
        <f>IF(C63="","",IF(COUNTIF($C$4:$C$403,C63)&gt;1,"DUPLICATE",""))</f>
        <v/>
      </c>
      <c r="Y63" s="9" t="n"/>
    </row>
    <row r="64">
      <c r="A64" s="9" t="n"/>
      <c r="B64" s="9" t="n"/>
      <c r="C64" s="9" t="n"/>
      <c r="D64" s="9" t="n"/>
      <c r="E64" s="9" t="n"/>
      <c r="F64" s="9" t="n"/>
      <c r="G64" s="9" t="n"/>
      <c r="H64" s="9" t="n"/>
      <c r="I64" s="9" t="n"/>
      <c r="J64" s="9" t="n"/>
      <c r="K64" s="9" t="n"/>
      <c r="L64" s="9" t="n"/>
      <c r="M64" s="9" t="n"/>
      <c r="N64" s="8">
        <f>IF(COUNT(I64:M64)=5,SUM(I64:M64),"")</f>
        <v/>
      </c>
      <c r="O64" s="9">
        <f>IF(N64="","",IF(N64&gt;=16,"Priority",IF(N64&gt;=12,"Active",IF(N64&gt;=8,"Nurture / research","Park"))))</f>
        <v/>
      </c>
      <c r="P64" s="9" t="n"/>
      <c r="Q64" s="9" t="n"/>
      <c r="R64" s="9" t="n"/>
      <c r="S64" s="9" t="n"/>
      <c r="T64" s="9">
        <f>IF(OR(S64="",P64="Won",P64="Lost",P64="Disqualified"),"",IF(TODAY()&gt;S64,TODAY()-S64,0))</f>
        <v/>
      </c>
      <c r="U64" s="9" t="n"/>
      <c r="V64" s="9" t="n"/>
      <c r="W64" s="9" t="n"/>
      <c r="X64" s="9">
        <f>IF(C64="","",IF(COUNTIF($C$4:$C$403,C64)&gt;1,"DUPLICATE",""))</f>
        <v/>
      </c>
      <c r="Y64" s="9" t="n"/>
    </row>
    <row r="65">
      <c r="A65" s="9" t="n"/>
      <c r="B65" s="9" t="n"/>
      <c r="C65" s="9" t="n"/>
      <c r="D65" s="9" t="n"/>
      <c r="E65" s="9" t="n"/>
      <c r="F65" s="9" t="n"/>
      <c r="G65" s="9" t="n"/>
      <c r="H65" s="9" t="n"/>
      <c r="I65" s="9" t="n"/>
      <c r="J65" s="9" t="n"/>
      <c r="K65" s="9" t="n"/>
      <c r="L65" s="9" t="n"/>
      <c r="M65" s="9" t="n"/>
      <c r="N65" s="8">
        <f>IF(COUNT(I65:M65)=5,SUM(I65:M65),"")</f>
        <v/>
      </c>
      <c r="O65" s="9">
        <f>IF(N65="","",IF(N65&gt;=16,"Priority",IF(N65&gt;=12,"Active",IF(N65&gt;=8,"Nurture / research","Park"))))</f>
        <v/>
      </c>
      <c r="P65" s="9" t="n"/>
      <c r="Q65" s="9" t="n"/>
      <c r="R65" s="9" t="n"/>
      <c r="S65" s="9" t="n"/>
      <c r="T65" s="9">
        <f>IF(OR(S65="",P65="Won",P65="Lost",P65="Disqualified"),"",IF(TODAY()&gt;S65,TODAY()-S65,0))</f>
        <v/>
      </c>
      <c r="U65" s="9" t="n"/>
      <c r="V65" s="9" t="n"/>
      <c r="W65" s="9" t="n"/>
      <c r="X65" s="9">
        <f>IF(C65="","",IF(COUNTIF($C$4:$C$403,C65)&gt;1,"DUPLICATE",""))</f>
        <v/>
      </c>
      <c r="Y65" s="9" t="n"/>
    </row>
    <row r="66">
      <c r="A66" s="9" t="n"/>
      <c r="B66" s="9" t="n"/>
      <c r="C66" s="9" t="n"/>
      <c r="D66" s="9" t="n"/>
      <c r="E66" s="9" t="n"/>
      <c r="F66" s="9" t="n"/>
      <c r="G66" s="9" t="n"/>
      <c r="H66" s="9" t="n"/>
      <c r="I66" s="9" t="n"/>
      <c r="J66" s="9" t="n"/>
      <c r="K66" s="9" t="n"/>
      <c r="L66" s="9" t="n"/>
      <c r="M66" s="9" t="n"/>
      <c r="N66" s="8">
        <f>IF(COUNT(I66:M66)=5,SUM(I66:M66),"")</f>
        <v/>
      </c>
      <c r="O66" s="9">
        <f>IF(N66="","",IF(N66&gt;=16,"Priority",IF(N66&gt;=12,"Active",IF(N66&gt;=8,"Nurture / research","Park"))))</f>
        <v/>
      </c>
      <c r="P66" s="9" t="n"/>
      <c r="Q66" s="9" t="n"/>
      <c r="R66" s="9" t="n"/>
      <c r="S66" s="9" t="n"/>
      <c r="T66" s="9">
        <f>IF(OR(S66="",P66="Won",P66="Lost",P66="Disqualified"),"",IF(TODAY()&gt;S66,TODAY()-S66,0))</f>
        <v/>
      </c>
      <c r="U66" s="9" t="n"/>
      <c r="V66" s="9" t="n"/>
      <c r="W66" s="9" t="n"/>
      <c r="X66" s="9">
        <f>IF(C66="","",IF(COUNTIF($C$4:$C$403,C66)&gt;1,"DUPLICATE",""))</f>
        <v/>
      </c>
      <c r="Y66" s="9" t="n"/>
    </row>
    <row r="67">
      <c r="A67" s="9" t="n"/>
      <c r="B67" s="9" t="n"/>
      <c r="C67" s="9" t="n"/>
      <c r="D67" s="9" t="n"/>
      <c r="E67" s="9" t="n"/>
      <c r="F67" s="9" t="n"/>
      <c r="G67" s="9" t="n"/>
      <c r="H67" s="9" t="n"/>
      <c r="I67" s="9" t="n"/>
      <c r="J67" s="9" t="n"/>
      <c r="K67" s="9" t="n"/>
      <c r="L67" s="9" t="n"/>
      <c r="M67" s="9" t="n"/>
      <c r="N67" s="8">
        <f>IF(COUNT(I67:M67)=5,SUM(I67:M67),"")</f>
        <v/>
      </c>
      <c r="O67" s="9">
        <f>IF(N67="","",IF(N67&gt;=16,"Priority",IF(N67&gt;=12,"Active",IF(N67&gt;=8,"Nurture / research","Park"))))</f>
        <v/>
      </c>
      <c r="P67" s="9" t="n"/>
      <c r="Q67" s="9" t="n"/>
      <c r="R67" s="9" t="n"/>
      <c r="S67" s="9" t="n"/>
      <c r="T67" s="9">
        <f>IF(OR(S67="",P67="Won",P67="Lost",P67="Disqualified"),"",IF(TODAY()&gt;S67,TODAY()-S67,0))</f>
        <v/>
      </c>
      <c r="U67" s="9" t="n"/>
      <c r="V67" s="9" t="n"/>
      <c r="W67" s="9" t="n"/>
      <c r="X67" s="9">
        <f>IF(C67="","",IF(COUNTIF($C$4:$C$403,C67)&gt;1,"DUPLICATE",""))</f>
        <v/>
      </c>
      <c r="Y67" s="9" t="n"/>
    </row>
    <row r="68">
      <c r="A68" s="9" t="n"/>
      <c r="B68" s="9" t="n"/>
      <c r="C68" s="9" t="n"/>
      <c r="D68" s="9" t="n"/>
      <c r="E68" s="9" t="n"/>
      <c r="F68" s="9" t="n"/>
      <c r="G68" s="9" t="n"/>
      <c r="H68" s="9" t="n"/>
      <c r="I68" s="9" t="n"/>
      <c r="J68" s="9" t="n"/>
      <c r="K68" s="9" t="n"/>
      <c r="L68" s="9" t="n"/>
      <c r="M68" s="9" t="n"/>
      <c r="N68" s="8">
        <f>IF(COUNT(I68:M68)=5,SUM(I68:M68),"")</f>
        <v/>
      </c>
      <c r="O68" s="9">
        <f>IF(N68="","",IF(N68&gt;=16,"Priority",IF(N68&gt;=12,"Active",IF(N68&gt;=8,"Nurture / research","Park"))))</f>
        <v/>
      </c>
      <c r="P68" s="9" t="n"/>
      <c r="Q68" s="9" t="n"/>
      <c r="R68" s="9" t="n"/>
      <c r="S68" s="9" t="n"/>
      <c r="T68" s="9">
        <f>IF(OR(S68="",P68="Won",P68="Lost",P68="Disqualified"),"",IF(TODAY()&gt;S68,TODAY()-S68,0))</f>
        <v/>
      </c>
      <c r="U68" s="9" t="n"/>
      <c r="V68" s="9" t="n"/>
      <c r="W68" s="9" t="n"/>
      <c r="X68" s="9">
        <f>IF(C68="","",IF(COUNTIF($C$4:$C$403,C68)&gt;1,"DUPLICATE",""))</f>
        <v/>
      </c>
      <c r="Y68" s="9" t="n"/>
    </row>
    <row r="69">
      <c r="A69" s="9" t="n"/>
      <c r="B69" s="9" t="n"/>
      <c r="C69" s="9" t="n"/>
      <c r="D69" s="9" t="n"/>
      <c r="E69" s="9" t="n"/>
      <c r="F69" s="9" t="n"/>
      <c r="G69" s="9" t="n"/>
      <c r="H69" s="9" t="n"/>
      <c r="I69" s="9" t="n"/>
      <c r="J69" s="9" t="n"/>
      <c r="K69" s="9" t="n"/>
      <c r="L69" s="9" t="n"/>
      <c r="M69" s="9" t="n"/>
      <c r="N69" s="8">
        <f>IF(COUNT(I69:M69)=5,SUM(I69:M69),"")</f>
        <v/>
      </c>
      <c r="O69" s="9">
        <f>IF(N69="","",IF(N69&gt;=16,"Priority",IF(N69&gt;=12,"Active",IF(N69&gt;=8,"Nurture / research","Park"))))</f>
        <v/>
      </c>
      <c r="P69" s="9" t="n"/>
      <c r="Q69" s="9" t="n"/>
      <c r="R69" s="9" t="n"/>
      <c r="S69" s="9" t="n"/>
      <c r="T69" s="9">
        <f>IF(OR(S69="",P69="Won",P69="Lost",P69="Disqualified"),"",IF(TODAY()&gt;S69,TODAY()-S69,0))</f>
        <v/>
      </c>
      <c r="U69" s="9" t="n"/>
      <c r="V69" s="9" t="n"/>
      <c r="W69" s="9" t="n"/>
      <c r="X69" s="9">
        <f>IF(C69="","",IF(COUNTIF($C$4:$C$403,C69)&gt;1,"DUPLICATE",""))</f>
        <v/>
      </c>
      <c r="Y69" s="9" t="n"/>
    </row>
    <row r="70">
      <c r="A70" s="9" t="n"/>
      <c r="B70" s="9" t="n"/>
      <c r="C70" s="9" t="n"/>
      <c r="D70" s="9" t="n"/>
      <c r="E70" s="9" t="n"/>
      <c r="F70" s="9" t="n"/>
      <c r="G70" s="9" t="n"/>
      <c r="H70" s="9" t="n"/>
      <c r="I70" s="9" t="n"/>
      <c r="J70" s="9" t="n"/>
      <c r="K70" s="9" t="n"/>
      <c r="L70" s="9" t="n"/>
      <c r="M70" s="9" t="n"/>
      <c r="N70" s="8">
        <f>IF(COUNT(I70:M70)=5,SUM(I70:M70),"")</f>
        <v/>
      </c>
      <c r="O70" s="9">
        <f>IF(N70="","",IF(N70&gt;=16,"Priority",IF(N70&gt;=12,"Active",IF(N70&gt;=8,"Nurture / research","Park"))))</f>
        <v/>
      </c>
      <c r="P70" s="9" t="n"/>
      <c r="Q70" s="9" t="n"/>
      <c r="R70" s="9" t="n"/>
      <c r="S70" s="9" t="n"/>
      <c r="T70" s="9">
        <f>IF(OR(S70="",P70="Won",P70="Lost",P70="Disqualified"),"",IF(TODAY()&gt;S70,TODAY()-S70,0))</f>
        <v/>
      </c>
      <c r="U70" s="9" t="n"/>
      <c r="V70" s="9" t="n"/>
      <c r="W70" s="9" t="n"/>
      <c r="X70" s="9">
        <f>IF(C70="","",IF(COUNTIF($C$4:$C$403,C70)&gt;1,"DUPLICATE",""))</f>
        <v/>
      </c>
      <c r="Y70" s="9" t="n"/>
    </row>
    <row r="71">
      <c r="A71" s="9" t="n"/>
      <c r="B71" s="9" t="n"/>
      <c r="C71" s="9" t="n"/>
      <c r="D71" s="9" t="n"/>
      <c r="E71" s="9" t="n"/>
      <c r="F71" s="9" t="n"/>
      <c r="G71" s="9" t="n"/>
      <c r="H71" s="9" t="n"/>
      <c r="I71" s="9" t="n"/>
      <c r="J71" s="9" t="n"/>
      <c r="K71" s="9" t="n"/>
      <c r="L71" s="9" t="n"/>
      <c r="M71" s="9" t="n"/>
      <c r="N71" s="8">
        <f>IF(COUNT(I71:M71)=5,SUM(I71:M71),"")</f>
        <v/>
      </c>
      <c r="O71" s="9">
        <f>IF(N71="","",IF(N71&gt;=16,"Priority",IF(N71&gt;=12,"Active",IF(N71&gt;=8,"Nurture / research","Park"))))</f>
        <v/>
      </c>
      <c r="P71" s="9" t="n"/>
      <c r="Q71" s="9" t="n"/>
      <c r="R71" s="9" t="n"/>
      <c r="S71" s="9" t="n"/>
      <c r="T71" s="9">
        <f>IF(OR(S71="",P71="Won",P71="Lost",P71="Disqualified"),"",IF(TODAY()&gt;S71,TODAY()-S71,0))</f>
        <v/>
      </c>
      <c r="U71" s="9" t="n"/>
      <c r="V71" s="9" t="n"/>
      <c r="W71" s="9" t="n"/>
      <c r="X71" s="9">
        <f>IF(C71="","",IF(COUNTIF($C$4:$C$403,C71)&gt;1,"DUPLICATE",""))</f>
        <v/>
      </c>
      <c r="Y71" s="9" t="n"/>
    </row>
    <row r="72">
      <c r="A72" s="9" t="n"/>
      <c r="B72" s="9" t="n"/>
      <c r="C72" s="9" t="n"/>
      <c r="D72" s="9" t="n"/>
      <c r="E72" s="9" t="n"/>
      <c r="F72" s="9" t="n"/>
      <c r="G72" s="9" t="n"/>
      <c r="H72" s="9" t="n"/>
      <c r="I72" s="9" t="n"/>
      <c r="J72" s="9" t="n"/>
      <c r="K72" s="9" t="n"/>
      <c r="L72" s="9" t="n"/>
      <c r="M72" s="9" t="n"/>
      <c r="N72" s="8">
        <f>IF(COUNT(I72:M72)=5,SUM(I72:M72),"")</f>
        <v/>
      </c>
      <c r="O72" s="9">
        <f>IF(N72="","",IF(N72&gt;=16,"Priority",IF(N72&gt;=12,"Active",IF(N72&gt;=8,"Nurture / research","Park"))))</f>
        <v/>
      </c>
      <c r="P72" s="9" t="n"/>
      <c r="Q72" s="9" t="n"/>
      <c r="R72" s="9" t="n"/>
      <c r="S72" s="9" t="n"/>
      <c r="T72" s="9">
        <f>IF(OR(S72="",P72="Won",P72="Lost",P72="Disqualified"),"",IF(TODAY()&gt;S72,TODAY()-S72,0))</f>
        <v/>
      </c>
      <c r="U72" s="9" t="n"/>
      <c r="V72" s="9" t="n"/>
      <c r="W72" s="9" t="n"/>
      <c r="X72" s="9">
        <f>IF(C72="","",IF(COUNTIF($C$4:$C$403,C72)&gt;1,"DUPLICATE",""))</f>
        <v/>
      </c>
      <c r="Y72" s="9" t="n"/>
    </row>
    <row r="73">
      <c r="A73" s="9" t="n"/>
      <c r="B73" s="9" t="n"/>
      <c r="C73" s="9" t="n"/>
      <c r="D73" s="9" t="n"/>
      <c r="E73" s="9" t="n"/>
      <c r="F73" s="9" t="n"/>
      <c r="G73" s="9" t="n"/>
      <c r="H73" s="9" t="n"/>
      <c r="I73" s="9" t="n"/>
      <c r="J73" s="9" t="n"/>
      <c r="K73" s="9" t="n"/>
      <c r="L73" s="9" t="n"/>
      <c r="M73" s="9" t="n"/>
      <c r="N73" s="8">
        <f>IF(COUNT(I73:M73)=5,SUM(I73:M73),"")</f>
        <v/>
      </c>
      <c r="O73" s="9">
        <f>IF(N73="","",IF(N73&gt;=16,"Priority",IF(N73&gt;=12,"Active",IF(N73&gt;=8,"Nurture / research","Park"))))</f>
        <v/>
      </c>
      <c r="P73" s="9" t="n"/>
      <c r="Q73" s="9" t="n"/>
      <c r="R73" s="9" t="n"/>
      <c r="S73" s="9" t="n"/>
      <c r="T73" s="9">
        <f>IF(OR(S73="",P73="Won",P73="Lost",P73="Disqualified"),"",IF(TODAY()&gt;S73,TODAY()-S73,0))</f>
        <v/>
      </c>
      <c r="U73" s="9" t="n"/>
      <c r="V73" s="9" t="n"/>
      <c r="W73" s="9" t="n"/>
      <c r="X73" s="9">
        <f>IF(C73="","",IF(COUNTIF($C$4:$C$403,C73)&gt;1,"DUPLICATE",""))</f>
        <v/>
      </c>
      <c r="Y73" s="9" t="n"/>
    </row>
    <row r="74">
      <c r="A74" s="9" t="n"/>
      <c r="B74" s="9" t="n"/>
      <c r="C74" s="9" t="n"/>
      <c r="D74" s="9" t="n"/>
      <c r="E74" s="9" t="n"/>
      <c r="F74" s="9" t="n"/>
      <c r="G74" s="9" t="n"/>
      <c r="H74" s="9" t="n"/>
      <c r="I74" s="9" t="n"/>
      <c r="J74" s="9" t="n"/>
      <c r="K74" s="9" t="n"/>
      <c r="L74" s="9" t="n"/>
      <c r="M74" s="9" t="n"/>
      <c r="N74" s="8">
        <f>IF(COUNT(I74:M74)=5,SUM(I74:M74),"")</f>
        <v/>
      </c>
      <c r="O74" s="9">
        <f>IF(N74="","",IF(N74&gt;=16,"Priority",IF(N74&gt;=12,"Active",IF(N74&gt;=8,"Nurture / research","Park"))))</f>
        <v/>
      </c>
      <c r="P74" s="9" t="n"/>
      <c r="Q74" s="9" t="n"/>
      <c r="R74" s="9" t="n"/>
      <c r="S74" s="9" t="n"/>
      <c r="T74" s="9">
        <f>IF(OR(S74="",P74="Won",P74="Lost",P74="Disqualified"),"",IF(TODAY()&gt;S74,TODAY()-S74,0))</f>
        <v/>
      </c>
      <c r="U74" s="9" t="n"/>
      <c r="V74" s="9" t="n"/>
      <c r="W74" s="9" t="n"/>
      <c r="X74" s="9">
        <f>IF(C74="","",IF(COUNTIF($C$4:$C$403,C74)&gt;1,"DUPLICATE",""))</f>
        <v/>
      </c>
      <c r="Y74" s="9" t="n"/>
    </row>
    <row r="75">
      <c r="A75" s="9" t="n"/>
      <c r="B75" s="9" t="n"/>
      <c r="C75" s="9" t="n"/>
      <c r="D75" s="9" t="n"/>
      <c r="E75" s="9" t="n"/>
      <c r="F75" s="9" t="n"/>
      <c r="G75" s="9" t="n"/>
      <c r="H75" s="9" t="n"/>
      <c r="I75" s="9" t="n"/>
      <c r="J75" s="9" t="n"/>
      <c r="K75" s="9" t="n"/>
      <c r="L75" s="9" t="n"/>
      <c r="M75" s="9" t="n"/>
      <c r="N75" s="8">
        <f>IF(COUNT(I75:M75)=5,SUM(I75:M75),"")</f>
        <v/>
      </c>
      <c r="O75" s="9">
        <f>IF(N75="","",IF(N75&gt;=16,"Priority",IF(N75&gt;=12,"Active",IF(N75&gt;=8,"Nurture / research","Park"))))</f>
        <v/>
      </c>
      <c r="P75" s="9" t="n"/>
      <c r="Q75" s="9" t="n"/>
      <c r="R75" s="9" t="n"/>
      <c r="S75" s="9" t="n"/>
      <c r="T75" s="9">
        <f>IF(OR(S75="",P75="Won",P75="Lost",P75="Disqualified"),"",IF(TODAY()&gt;S75,TODAY()-S75,0))</f>
        <v/>
      </c>
      <c r="U75" s="9" t="n"/>
      <c r="V75" s="9" t="n"/>
      <c r="W75" s="9" t="n"/>
      <c r="X75" s="9">
        <f>IF(C75="","",IF(COUNTIF($C$4:$C$403,C75)&gt;1,"DUPLICATE",""))</f>
        <v/>
      </c>
      <c r="Y75" s="9" t="n"/>
    </row>
    <row r="76">
      <c r="A76" s="9" t="n"/>
      <c r="B76" s="9" t="n"/>
      <c r="C76" s="9" t="n"/>
      <c r="D76" s="9" t="n"/>
      <c r="E76" s="9" t="n"/>
      <c r="F76" s="9" t="n"/>
      <c r="G76" s="9" t="n"/>
      <c r="H76" s="9" t="n"/>
      <c r="I76" s="9" t="n"/>
      <c r="J76" s="9" t="n"/>
      <c r="K76" s="9" t="n"/>
      <c r="L76" s="9" t="n"/>
      <c r="M76" s="9" t="n"/>
      <c r="N76" s="8">
        <f>IF(COUNT(I76:M76)=5,SUM(I76:M76),"")</f>
        <v/>
      </c>
      <c r="O76" s="9">
        <f>IF(N76="","",IF(N76&gt;=16,"Priority",IF(N76&gt;=12,"Active",IF(N76&gt;=8,"Nurture / research","Park"))))</f>
        <v/>
      </c>
      <c r="P76" s="9" t="n"/>
      <c r="Q76" s="9" t="n"/>
      <c r="R76" s="9" t="n"/>
      <c r="S76" s="9" t="n"/>
      <c r="T76" s="9">
        <f>IF(OR(S76="",P76="Won",P76="Lost",P76="Disqualified"),"",IF(TODAY()&gt;S76,TODAY()-S76,0))</f>
        <v/>
      </c>
      <c r="U76" s="9" t="n"/>
      <c r="V76" s="9" t="n"/>
      <c r="W76" s="9" t="n"/>
      <c r="X76" s="9">
        <f>IF(C76="","",IF(COUNTIF($C$4:$C$403,C76)&gt;1,"DUPLICATE",""))</f>
        <v/>
      </c>
      <c r="Y76" s="9" t="n"/>
    </row>
    <row r="77">
      <c r="A77" s="9" t="n"/>
      <c r="B77" s="9" t="n"/>
      <c r="C77" s="9" t="n"/>
      <c r="D77" s="9" t="n"/>
      <c r="E77" s="9" t="n"/>
      <c r="F77" s="9" t="n"/>
      <c r="G77" s="9" t="n"/>
      <c r="H77" s="9" t="n"/>
      <c r="I77" s="9" t="n"/>
      <c r="J77" s="9" t="n"/>
      <c r="K77" s="9" t="n"/>
      <c r="L77" s="9" t="n"/>
      <c r="M77" s="9" t="n"/>
      <c r="N77" s="8">
        <f>IF(COUNT(I77:M77)=5,SUM(I77:M77),"")</f>
        <v/>
      </c>
      <c r="O77" s="9">
        <f>IF(N77="","",IF(N77&gt;=16,"Priority",IF(N77&gt;=12,"Active",IF(N77&gt;=8,"Nurture / research","Park"))))</f>
        <v/>
      </c>
      <c r="P77" s="9" t="n"/>
      <c r="Q77" s="9" t="n"/>
      <c r="R77" s="9" t="n"/>
      <c r="S77" s="9" t="n"/>
      <c r="T77" s="9">
        <f>IF(OR(S77="",P77="Won",P77="Lost",P77="Disqualified"),"",IF(TODAY()&gt;S77,TODAY()-S77,0))</f>
        <v/>
      </c>
      <c r="U77" s="9" t="n"/>
      <c r="V77" s="9" t="n"/>
      <c r="W77" s="9" t="n"/>
      <c r="X77" s="9">
        <f>IF(C77="","",IF(COUNTIF($C$4:$C$403,C77)&gt;1,"DUPLICATE",""))</f>
        <v/>
      </c>
      <c r="Y77" s="9" t="n"/>
    </row>
    <row r="78">
      <c r="A78" s="9" t="n"/>
      <c r="B78" s="9" t="n"/>
      <c r="C78" s="9" t="n"/>
      <c r="D78" s="9" t="n"/>
      <c r="E78" s="9" t="n"/>
      <c r="F78" s="9" t="n"/>
      <c r="G78" s="9" t="n"/>
      <c r="H78" s="9" t="n"/>
      <c r="I78" s="9" t="n"/>
      <c r="J78" s="9" t="n"/>
      <c r="K78" s="9" t="n"/>
      <c r="L78" s="9" t="n"/>
      <c r="M78" s="9" t="n"/>
      <c r="N78" s="8">
        <f>IF(COUNT(I78:M78)=5,SUM(I78:M78),"")</f>
        <v/>
      </c>
      <c r="O78" s="9">
        <f>IF(N78="","",IF(N78&gt;=16,"Priority",IF(N78&gt;=12,"Active",IF(N78&gt;=8,"Nurture / research","Park"))))</f>
        <v/>
      </c>
      <c r="P78" s="9" t="n"/>
      <c r="Q78" s="9" t="n"/>
      <c r="R78" s="9" t="n"/>
      <c r="S78" s="9" t="n"/>
      <c r="T78" s="9">
        <f>IF(OR(S78="",P78="Won",P78="Lost",P78="Disqualified"),"",IF(TODAY()&gt;S78,TODAY()-S78,0))</f>
        <v/>
      </c>
      <c r="U78" s="9" t="n"/>
      <c r="V78" s="9" t="n"/>
      <c r="W78" s="9" t="n"/>
      <c r="X78" s="9">
        <f>IF(C78="","",IF(COUNTIF($C$4:$C$403,C78)&gt;1,"DUPLICATE",""))</f>
        <v/>
      </c>
      <c r="Y78" s="9" t="n"/>
    </row>
    <row r="79">
      <c r="A79" s="9" t="n"/>
      <c r="B79" s="9" t="n"/>
      <c r="C79" s="9" t="n"/>
      <c r="D79" s="9" t="n"/>
      <c r="E79" s="9" t="n"/>
      <c r="F79" s="9" t="n"/>
      <c r="G79" s="9" t="n"/>
      <c r="H79" s="9" t="n"/>
      <c r="I79" s="9" t="n"/>
      <c r="J79" s="9" t="n"/>
      <c r="K79" s="9" t="n"/>
      <c r="L79" s="9" t="n"/>
      <c r="M79" s="9" t="n"/>
      <c r="N79" s="8">
        <f>IF(COUNT(I79:M79)=5,SUM(I79:M79),"")</f>
        <v/>
      </c>
      <c r="O79" s="9">
        <f>IF(N79="","",IF(N79&gt;=16,"Priority",IF(N79&gt;=12,"Active",IF(N79&gt;=8,"Nurture / research","Park"))))</f>
        <v/>
      </c>
      <c r="P79" s="9" t="n"/>
      <c r="Q79" s="9" t="n"/>
      <c r="R79" s="9" t="n"/>
      <c r="S79" s="9" t="n"/>
      <c r="T79" s="9">
        <f>IF(OR(S79="",P79="Won",P79="Lost",P79="Disqualified"),"",IF(TODAY()&gt;S79,TODAY()-S79,0))</f>
        <v/>
      </c>
      <c r="U79" s="9" t="n"/>
      <c r="V79" s="9" t="n"/>
      <c r="W79" s="9" t="n"/>
      <c r="X79" s="9">
        <f>IF(C79="","",IF(COUNTIF($C$4:$C$403,C79)&gt;1,"DUPLICATE",""))</f>
        <v/>
      </c>
      <c r="Y79" s="9" t="n"/>
    </row>
    <row r="80">
      <c r="A80" s="9" t="n"/>
      <c r="B80" s="9" t="n"/>
      <c r="C80" s="9" t="n"/>
      <c r="D80" s="9" t="n"/>
      <c r="E80" s="9" t="n"/>
      <c r="F80" s="9" t="n"/>
      <c r="G80" s="9" t="n"/>
      <c r="H80" s="9" t="n"/>
      <c r="I80" s="9" t="n"/>
      <c r="J80" s="9" t="n"/>
      <c r="K80" s="9" t="n"/>
      <c r="L80" s="9" t="n"/>
      <c r="M80" s="9" t="n"/>
      <c r="N80" s="8">
        <f>IF(COUNT(I80:M80)=5,SUM(I80:M80),"")</f>
        <v/>
      </c>
      <c r="O80" s="9">
        <f>IF(N80="","",IF(N80&gt;=16,"Priority",IF(N80&gt;=12,"Active",IF(N80&gt;=8,"Nurture / research","Park"))))</f>
        <v/>
      </c>
      <c r="P80" s="9" t="n"/>
      <c r="Q80" s="9" t="n"/>
      <c r="R80" s="9" t="n"/>
      <c r="S80" s="9" t="n"/>
      <c r="T80" s="9">
        <f>IF(OR(S80="",P80="Won",P80="Lost",P80="Disqualified"),"",IF(TODAY()&gt;S80,TODAY()-S80,0))</f>
        <v/>
      </c>
      <c r="U80" s="9" t="n"/>
      <c r="V80" s="9" t="n"/>
      <c r="W80" s="9" t="n"/>
      <c r="X80" s="9">
        <f>IF(C80="","",IF(COUNTIF($C$4:$C$403,C80)&gt;1,"DUPLICATE",""))</f>
        <v/>
      </c>
      <c r="Y80" s="9" t="n"/>
    </row>
    <row r="81">
      <c r="A81" s="9" t="n"/>
      <c r="B81" s="9" t="n"/>
      <c r="C81" s="9" t="n"/>
      <c r="D81" s="9" t="n"/>
      <c r="E81" s="9" t="n"/>
      <c r="F81" s="9" t="n"/>
      <c r="G81" s="9" t="n"/>
      <c r="H81" s="9" t="n"/>
      <c r="I81" s="9" t="n"/>
      <c r="J81" s="9" t="n"/>
      <c r="K81" s="9" t="n"/>
      <c r="L81" s="9" t="n"/>
      <c r="M81" s="9" t="n"/>
      <c r="N81" s="8">
        <f>IF(COUNT(I81:M81)=5,SUM(I81:M81),"")</f>
        <v/>
      </c>
      <c r="O81" s="9">
        <f>IF(N81="","",IF(N81&gt;=16,"Priority",IF(N81&gt;=12,"Active",IF(N81&gt;=8,"Nurture / research","Park"))))</f>
        <v/>
      </c>
      <c r="P81" s="9" t="n"/>
      <c r="Q81" s="9" t="n"/>
      <c r="R81" s="9" t="n"/>
      <c r="S81" s="9" t="n"/>
      <c r="T81" s="9">
        <f>IF(OR(S81="",P81="Won",P81="Lost",P81="Disqualified"),"",IF(TODAY()&gt;S81,TODAY()-S81,0))</f>
        <v/>
      </c>
      <c r="U81" s="9" t="n"/>
      <c r="V81" s="9" t="n"/>
      <c r="W81" s="9" t="n"/>
      <c r="X81" s="9">
        <f>IF(C81="","",IF(COUNTIF($C$4:$C$403,C81)&gt;1,"DUPLICATE",""))</f>
        <v/>
      </c>
      <c r="Y81" s="9" t="n"/>
    </row>
    <row r="82">
      <c r="A82" s="9" t="n"/>
      <c r="B82" s="9" t="n"/>
      <c r="C82" s="9" t="n"/>
      <c r="D82" s="9" t="n"/>
      <c r="E82" s="9" t="n"/>
      <c r="F82" s="9" t="n"/>
      <c r="G82" s="9" t="n"/>
      <c r="H82" s="9" t="n"/>
      <c r="I82" s="9" t="n"/>
      <c r="J82" s="9" t="n"/>
      <c r="K82" s="9" t="n"/>
      <c r="L82" s="9" t="n"/>
      <c r="M82" s="9" t="n"/>
      <c r="N82" s="8">
        <f>IF(COUNT(I82:M82)=5,SUM(I82:M82),"")</f>
        <v/>
      </c>
      <c r="O82" s="9">
        <f>IF(N82="","",IF(N82&gt;=16,"Priority",IF(N82&gt;=12,"Active",IF(N82&gt;=8,"Nurture / research","Park"))))</f>
        <v/>
      </c>
      <c r="P82" s="9" t="n"/>
      <c r="Q82" s="9" t="n"/>
      <c r="R82" s="9" t="n"/>
      <c r="S82" s="9" t="n"/>
      <c r="T82" s="9">
        <f>IF(OR(S82="",P82="Won",P82="Lost",P82="Disqualified"),"",IF(TODAY()&gt;S82,TODAY()-S82,0))</f>
        <v/>
      </c>
      <c r="U82" s="9" t="n"/>
      <c r="V82" s="9" t="n"/>
      <c r="W82" s="9" t="n"/>
      <c r="X82" s="9">
        <f>IF(C82="","",IF(COUNTIF($C$4:$C$403,C82)&gt;1,"DUPLICATE",""))</f>
        <v/>
      </c>
      <c r="Y82" s="9" t="n"/>
    </row>
    <row r="83">
      <c r="A83" s="9" t="n"/>
      <c r="B83" s="9" t="n"/>
      <c r="C83" s="9" t="n"/>
      <c r="D83" s="9" t="n"/>
      <c r="E83" s="9" t="n"/>
      <c r="F83" s="9" t="n"/>
      <c r="G83" s="9" t="n"/>
      <c r="H83" s="9" t="n"/>
      <c r="I83" s="9" t="n"/>
      <c r="J83" s="9" t="n"/>
      <c r="K83" s="9" t="n"/>
      <c r="L83" s="9" t="n"/>
      <c r="M83" s="9" t="n"/>
      <c r="N83" s="8">
        <f>IF(COUNT(I83:M83)=5,SUM(I83:M83),"")</f>
        <v/>
      </c>
      <c r="O83" s="9">
        <f>IF(N83="","",IF(N83&gt;=16,"Priority",IF(N83&gt;=12,"Active",IF(N83&gt;=8,"Nurture / research","Park"))))</f>
        <v/>
      </c>
      <c r="P83" s="9" t="n"/>
      <c r="Q83" s="9" t="n"/>
      <c r="R83" s="9" t="n"/>
      <c r="S83" s="9" t="n"/>
      <c r="T83" s="9">
        <f>IF(OR(S83="",P83="Won",P83="Lost",P83="Disqualified"),"",IF(TODAY()&gt;S83,TODAY()-S83,0))</f>
        <v/>
      </c>
      <c r="U83" s="9" t="n"/>
      <c r="V83" s="9" t="n"/>
      <c r="W83" s="9" t="n"/>
      <c r="X83" s="9">
        <f>IF(C83="","",IF(COUNTIF($C$4:$C$403,C83)&gt;1,"DUPLICATE",""))</f>
        <v/>
      </c>
      <c r="Y83" s="9" t="n"/>
    </row>
    <row r="84">
      <c r="A84" s="9" t="n"/>
      <c r="B84" s="9" t="n"/>
      <c r="C84" s="9" t="n"/>
      <c r="D84" s="9" t="n"/>
      <c r="E84" s="9" t="n"/>
      <c r="F84" s="9" t="n"/>
      <c r="G84" s="9" t="n"/>
      <c r="H84" s="9" t="n"/>
      <c r="I84" s="9" t="n"/>
      <c r="J84" s="9" t="n"/>
      <c r="K84" s="9" t="n"/>
      <c r="L84" s="9" t="n"/>
      <c r="M84" s="9" t="n"/>
      <c r="N84" s="8">
        <f>IF(COUNT(I84:M84)=5,SUM(I84:M84),"")</f>
        <v/>
      </c>
      <c r="O84" s="9">
        <f>IF(N84="","",IF(N84&gt;=16,"Priority",IF(N84&gt;=12,"Active",IF(N84&gt;=8,"Nurture / research","Park"))))</f>
        <v/>
      </c>
      <c r="P84" s="9" t="n"/>
      <c r="Q84" s="9" t="n"/>
      <c r="R84" s="9" t="n"/>
      <c r="S84" s="9" t="n"/>
      <c r="T84" s="9">
        <f>IF(OR(S84="",P84="Won",P84="Lost",P84="Disqualified"),"",IF(TODAY()&gt;S84,TODAY()-S84,0))</f>
        <v/>
      </c>
      <c r="U84" s="9" t="n"/>
      <c r="V84" s="9" t="n"/>
      <c r="W84" s="9" t="n"/>
      <c r="X84" s="9">
        <f>IF(C84="","",IF(COUNTIF($C$4:$C$403,C84)&gt;1,"DUPLICATE",""))</f>
        <v/>
      </c>
      <c r="Y84" s="9" t="n"/>
    </row>
    <row r="85">
      <c r="A85" s="9" t="n"/>
      <c r="B85" s="9" t="n"/>
      <c r="C85" s="9" t="n"/>
      <c r="D85" s="9" t="n"/>
      <c r="E85" s="9" t="n"/>
      <c r="F85" s="9" t="n"/>
      <c r="G85" s="9" t="n"/>
      <c r="H85" s="9" t="n"/>
      <c r="I85" s="9" t="n"/>
      <c r="J85" s="9" t="n"/>
      <c r="K85" s="9" t="n"/>
      <c r="L85" s="9" t="n"/>
      <c r="M85" s="9" t="n"/>
      <c r="N85" s="8">
        <f>IF(COUNT(I85:M85)=5,SUM(I85:M85),"")</f>
        <v/>
      </c>
      <c r="O85" s="9">
        <f>IF(N85="","",IF(N85&gt;=16,"Priority",IF(N85&gt;=12,"Active",IF(N85&gt;=8,"Nurture / research","Park"))))</f>
        <v/>
      </c>
      <c r="P85" s="9" t="n"/>
      <c r="Q85" s="9" t="n"/>
      <c r="R85" s="9" t="n"/>
      <c r="S85" s="9" t="n"/>
      <c r="T85" s="9">
        <f>IF(OR(S85="",P85="Won",P85="Lost",P85="Disqualified"),"",IF(TODAY()&gt;S85,TODAY()-S85,0))</f>
        <v/>
      </c>
      <c r="U85" s="9" t="n"/>
      <c r="V85" s="9" t="n"/>
      <c r="W85" s="9" t="n"/>
      <c r="X85" s="9">
        <f>IF(C85="","",IF(COUNTIF($C$4:$C$403,C85)&gt;1,"DUPLICATE",""))</f>
        <v/>
      </c>
      <c r="Y85" s="9" t="n"/>
    </row>
    <row r="86">
      <c r="A86" s="9" t="n"/>
      <c r="B86" s="9" t="n"/>
      <c r="C86" s="9" t="n"/>
      <c r="D86" s="9" t="n"/>
      <c r="E86" s="9" t="n"/>
      <c r="F86" s="9" t="n"/>
      <c r="G86" s="9" t="n"/>
      <c r="H86" s="9" t="n"/>
      <c r="I86" s="9" t="n"/>
      <c r="J86" s="9" t="n"/>
      <c r="K86" s="9" t="n"/>
      <c r="L86" s="9" t="n"/>
      <c r="M86" s="9" t="n"/>
      <c r="N86" s="8">
        <f>IF(COUNT(I86:M86)=5,SUM(I86:M86),"")</f>
        <v/>
      </c>
      <c r="O86" s="9">
        <f>IF(N86="","",IF(N86&gt;=16,"Priority",IF(N86&gt;=12,"Active",IF(N86&gt;=8,"Nurture / research","Park"))))</f>
        <v/>
      </c>
      <c r="P86" s="9" t="n"/>
      <c r="Q86" s="9" t="n"/>
      <c r="R86" s="9" t="n"/>
      <c r="S86" s="9" t="n"/>
      <c r="T86" s="9">
        <f>IF(OR(S86="",P86="Won",P86="Lost",P86="Disqualified"),"",IF(TODAY()&gt;S86,TODAY()-S86,0))</f>
        <v/>
      </c>
      <c r="U86" s="9" t="n"/>
      <c r="V86" s="9" t="n"/>
      <c r="W86" s="9" t="n"/>
      <c r="X86" s="9">
        <f>IF(C86="","",IF(COUNTIF($C$4:$C$403,C86)&gt;1,"DUPLICATE",""))</f>
        <v/>
      </c>
      <c r="Y86" s="9" t="n"/>
    </row>
    <row r="87">
      <c r="A87" s="9" t="n"/>
      <c r="B87" s="9" t="n"/>
      <c r="C87" s="9" t="n"/>
      <c r="D87" s="9" t="n"/>
      <c r="E87" s="9" t="n"/>
      <c r="F87" s="9" t="n"/>
      <c r="G87" s="9" t="n"/>
      <c r="H87" s="9" t="n"/>
      <c r="I87" s="9" t="n"/>
      <c r="J87" s="9" t="n"/>
      <c r="K87" s="9" t="n"/>
      <c r="L87" s="9" t="n"/>
      <c r="M87" s="9" t="n"/>
      <c r="N87" s="8">
        <f>IF(COUNT(I87:M87)=5,SUM(I87:M87),"")</f>
        <v/>
      </c>
      <c r="O87" s="9">
        <f>IF(N87="","",IF(N87&gt;=16,"Priority",IF(N87&gt;=12,"Active",IF(N87&gt;=8,"Nurture / research","Park"))))</f>
        <v/>
      </c>
      <c r="P87" s="9" t="n"/>
      <c r="Q87" s="9" t="n"/>
      <c r="R87" s="9" t="n"/>
      <c r="S87" s="9" t="n"/>
      <c r="T87" s="9">
        <f>IF(OR(S87="",P87="Won",P87="Lost",P87="Disqualified"),"",IF(TODAY()&gt;S87,TODAY()-S87,0))</f>
        <v/>
      </c>
      <c r="U87" s="9" t="n"/>
      <c r="V87" s="9" t="n"/>
      <c r="W87" s="9" t="n"/>
      <c r="X87" s="9">
        <f>IF(C87="","",IF(COUNTIF($C$4:$C$403,C87)&gt;1,"DUPLICATE",""))</f>
        <v/>
      </c>
      <c r="Y87" s="9" t="n"/>
    </row>
    <row r="88">
      <c r="A88" s="9" t="n"/>
      <c r="B88" s="9" t="n"/>
      <c r="C88" s="9" t="n"/>
      <c r="D88" s="9" t="n"/>
      <c r="E88" s="9" t="n"/>
      <c r="F88" s="9" t="n"/>
      <c r="G88" s="9" t="n"/>
      <c r="H88" s="9" t="n"/>
      <c r="I88" s="9" t="n"/>
      <c r="J88" s="9" t="n"/>
      <c r="K88" s="9" t="n"/>
      <c r="L88" s="9" t="n"/>
      <c r="M88" s="9" t="n"/>
      <c r="N88" s="8">
        <f>IF(COUNT(I88:M88)=5,SUM(I88:M88),"")</f>
        <v/>
      </c>
      <c r="O88" s="9">
        <f>IF(N88="","",IF(N88&gt;=16,"Priority",IF(N88&gt;=12,"Active",IF(N88&gt;=8,"Nurture / research","Park"))))</f>
        <v/>
      </c>
      <c r="P88" s="9" t="n"/>
      <c r="Q88" s="9" t="n"/>
      <c r="R88" s="9" t="n"/>
      <c r="S88" s="9" t="n"/>
      <c r="T88" s="9">
        <f>IF(OR(S88="",P88="Won",P88="Lost",P88="Disqualified"),"",IF(TODAY()&gt;S88,TODAY()-S88,0))</f>
        <v/>
      </c>
      <c r="U88" s="9" t="n"/>
      <c r="V88" s="9" t="n"/>
      <c r="W88" s="9" t="n"/>
      <c r="X88" s="9">
        <f>IF(C88="","",IF(COUNTIF($C$4:$C$403,C88)&gt;1,"DUPLICATE",""))</f>
        <v/>
      </c>
      <c r="Y88" s="9" t="n"/>
    </row>
    <row r="89">
      <c r="A89" s="9" t="n"/>
      <c r="B89" s="9" t="n"/>
      <c r="C89" s="9" t="n"/>
      <c r="D89" s="9" t="n"/>
      <c r="E89" s="9" t="n"/>
      <c r="F89" s="9" t="n"/>
      <c r="G89" s="9" t="n"/>
      <c r="H89" s="9" t="n"/>
      <c r="I89" s="9" t="n"/>
      <c r="J89" s="9" t="n"/>
      <c r="K89" s="9" t="n"/>
      <c r="L89" s="9" t="n"/>
      <c r="M89" s="9" t="n"/>
      <c r="N89" s="8">
        <f>IF(COUNT(I89:M89)=5,SUM(I89:M89),"")</f>
        <v/>
      </c>
      <c r="O89" s="9">
        <f>IF(N89="","",IF(N89&gt;=16,"Priority",IF(N89&gt;=12,"Active",IF(N89&gt;=8,"Nurture / research","Park"))))</f>
        <v/>
      </c>
      <c r="P89" s="9" t="n"/>
      <c r="Q89" s="9" t="n"/>
      <c r="R89" s="9" t="n"/>
      <c r="S89" s="9" t="n"/>
      <c r="T89" s="9">
        <f>IF(OR(S89="",P89="Won",P89="Lost",P89="Disqualified"),"",IF(TODAY()&gt;S89,TODAY()-S89,0))</f>
        <v/>
      </c>
      <c r="U89" s="9" t="n"/>
      <c r="V89" s="9" t="n"/>
      <c r="W89" s="9" t="n"/>
      <c r="X89" s="9">
        <f>IF(C89="","",IF(COUNTIF($C$4:$C$403,C89)&gt;1,"DUPLICATE",""))</f>
        <v/>
      </c>
      <c r="Y89" s="9" t="n"/>
    </row>
    <row r="90">
      <c r="A90" s="9" t="n"/>
      <c r="B90" s="9" t="n"/>
      <c r="C90" s="9" t="n"/>
      <c r="D90" s="9" t="n"/>
      <c r="E90" s="9" t="n"/>
      <c r="F90" s="9" t="n"/>
      <c r="G90" s="9" t="n"/>
      <c r="H90" s="9" t="n"/>
      <c r="I90" s="9" t="n"/>
      <c r="J90" s="9" t="n"/>
      <c r="K90" s="9" t="n"/>
      <c r="L90" s="9" t="n"/>
      <c r="M90" s="9" t="n"/>
      <c r="N90" s="8">
        <f>IF(COUNT(I90:M90)=5,SUM(I90:M90),"")</f>
        <v/>
      </c>
      <c r="O90" s="9">
        <f>IF(N90="","",IF(N90&gt;=16,"Priority",IF(N90&gt;=12,"Active",IF(N90&gt;=8,"Nurture / research","Park"))))</f>
        <v/>
      </c>
      <c r="P90" s="9" t="n"/>
      <c r="Q90" s="9" t="n"/>
      <c r="R90" s="9" t="n"/>
      <c r="S90" s="9" t="n"/>
      <c r="T90" s="9">
        <f>IF(OR(S90="",P90="Won",P90="Lost",P90="Disqualified"),"",IF(TODAY()&gt;S90,TODAY()-S90,0))</f>
        <v/>
      </c>
      <c r="U90" s="9" t="n"/>
      <c r="V90" s="9" t="n"/>
      <c r="W90" s="9" t="n"/>
      <c r="X90" s="9">
        <f>IF(C90="","",IF(COUNTIF($C$4:$C$403,C90)&gt;1,"DUPLICATE",""))</f>
        <v/>
      </c>
      <c r="Y90" s="9" t="n"/>
    </row>
    <row r="91">
      <c r="A91" s="9" t="n"/>
      <c r="B91" s="9" t="n"/>
      <c r="C91" s="9" t="n"/>
      <c r="D91" s="9" t="n"/>
      <c r="E91" s="9" t="n"/>
      <c r="F91" s="9" t="n"/>
      <c r="G91" s="9" t="n"/>
      <c r="H91" s="9" t="n"/>
      <c r="I91" s="9" t="n"/>
      <c r="J91" s="9" t="n"/>
      <c r="K91" s="9" t="n"/>
      <c r="L91" s="9" t="n"/>
      <c r="M91" s="9" t="n"/>
      <c r="N91" s="8">
        <f>IF(COUNT(I91:M91)=5,SUM(I91:M91),"")</f>
        <v/>
      </c>
      <c r="O91" s="9">
        <f>IF(N91="","",IF(N91&gt;=16,"Priority",IF(N91&gt;=12,"Active",IF(N91&gt;=8,"Nurture / research","Park"))))</f>
        <v/>
      </c>
      <c r="P91" s="9" t="n"/>
      <c r="Q91" s="9" t="n"/>
      <c r="R91" s="9" t="n"/>
      <c r="S91" s="9" t="n"/>
      <c r="T91" s="9">
        <f>IF(OR(S91="",P91="Won",P91="Lost",P91="Disqualified"),"",IF(TODAY()&gt;S91,TODAY()-S91,0))</f>
        <v/>
      </c>
      <c r="U91" s="9" t="n"/>
      <c r="V91" s="9" t="n"/>
      <c r="W91" s="9" t="n"/>
      <c r="X91" s="9">
        <f>IF(C91="","",IF(COUNTIF($C$4:$C$403,C91)&gt;1,"DUPLICATE",""))</f>
        <v/>
      </c>
      <c r="Y91" s="9" t="n"/>
    </row>
    <row r="92">
      <c r="A92" s="9" t="n"/>
      <c r="B92" s="9" t="n"/>
      <c r="C92" s="9" t="n"/>
      <c r="D92" s="9" t="n"/>
      <c r="E92" s="9" t="n"/>
      <c r="F92" s="9" t="n"/>
      <c r="G92" s="9" t="n"/>
      <c r="H92" s="9" t="n"/>
      <c r="I92" s="9" t="n"/>
      <c r="J92" s="9" t="n"/>
      <c r="K92" s="9" t="n"/>
      <c r="L92" s="9" t="n"/>
      <c r="M92" s="9" t="n"/>
      <c r="N92" s="8">
        <f>IF(COUNT(I92:M92)=5,SUM(I92:M92),"")</f>
        <v/>
      </c>
      <c r="O92" s="9">
        <f>IF(N92="","",IF(N92&gt;=16,"Priority",IF(N92&gt;=12,"Active",IF(N92&gt;=8,"Nurture / research","Park"))))</f>
        <v/>
      </c>
      <c r="P92" s="9" t="n"/>
      <c r="Q92" s="9" t="n"/>
      <c r="R92" s="9" t="n"/>
      <c r="S92" s="9" t="n"/>
      <c r="T92" s="9">
        <f>IF(OR(S92="",P92="Won",P92="Lost",P92="Disqualified"),"",IF(TODAY()&gt;S92,TODAY()-S92,0))</f>
        <v/>
      </c>
      <c r="U92" s="9" t="n"/>
      <c r="V92" s="9" t="n"/>
      <c r="W92" s="9" t="n"/>
      <c r="X92" s="9">
        <f>IF(C92="","",IF(COUNTIF($C$4:$C$403,C92)&gt;1,"DUPLICATE",""))</f>
        <v/>
      </c>
      <c r="Y92" s="9" t="n"/>
    </row>
    <row r="93">
      <c r="A93" s="9" t="n"/>
      <c r="B93" s="9" t="n"/>
      <c r="C93" s="9" t="n"/>
      <c r="D93" s="9" t="n"/>
      <c r="E93" s="9" t="n"/>
      <c r="F93" s="9" t="n"/>
      <c r="G93" s="9" t="n"/>
      <c r="H93" s="9" t="n"/>
      <c r="I93" s="9" t="n"/>
      <c r="J93" s="9" t="n"/>
      <c r="K93" s="9" t="n"/>
      <c r="L93" s="9" t="n"/>
      <c r="M93" s="9" t="n"/>
      <c r="N93" s="8">
        <f>IF(COUNT(I93:M93)=5,SUM(I93:M93),"")</f>
        <v/>
      </c>
      <c r="O93" s="9">
        <f>IF(N93="","",IF(N93&gt;=16,"Priority",IF(N93&gt;=12,"Active",IF(N93&gt;=8,"Nurture / research","Park"))))</f>
        <v/>
      </c>
      <c r="P93" s="9" t="n"/>
      <c r="Q93" s="9" t="n"/>
      <c r="R93" s="9" t="n"/>
      <c r="S93" s="9" t="n"/>
      <c r="T93" s="9">
        <f>IF(OR(S93="",P93="Won",P93="Lost",P93="Disqualified"),"",IF(TODAY()&gt;S93,TODAY()-S93,0))</f>
        <v/>
      </c>
      <c r="U93" s="9" t="n"/>
      <c r="V93" s="9" t="n"/>
      <c r="W93" s="9" t="n"/>
      <c r="X93" s="9">
        <f>IF(C93="","",IF(COUNTIF($C$4:$C$403,C93)&gt;1,"DUPLICATE",""))</f>
        <v/>
      </c>
      <c r="Y93" s="9" t="n"/>
    </row>
    <row r="94">
      <c r="A94" s="9" t="n"/>
      <c r="B94" s="9" t="n"/>
      <c r="C94" s="9" t="n"/>
      <c r="D94" s="9" t="n"/>
      <c r="E94" s="9" t="n"/>
      <c r="F94" s="9" t="n"/>
      <c r="G94" s="9" t="n"/>
      <c r="H94" s="9" t="n"/>
      <c r="I94" s="9" t="n"/>
      <c r="J94" s="9" t="n"/>
      <c r="K94" s="9" t="n"/>
      <c r="L94" s="9" t="n"/>
      <c r="M94" s="9" t="n"/>
      <c r="N94" s="8">
        <f>IF(COUNT(I94:M94)=5,SUM(I94:M94),"")</f>
        <v/>
      </c>
      <c r="O94" s="9">
        <f>IF(N94="","",IF(N94&gt;=16,"Priority",IF(N94&gt;=12,"Active",IF(N94&gt;=8,"Nurture / research","Park"))))</f>
        <v/>
      </c>
      <c r="P94" s="9" t="n"/>
      <c r="Q94" s="9" t="n"/>
      <c r="R94" s="9" t="n"/>
      <c r="S94" s="9" t="n"/>
      <c r="T94" s="9">
        <f>IF(OR(S94="",P94="Won",P94="Lost",P94="Disqualified"),"",IF(TODAY()&gt;S94,TODAY()-S94,0))</f>
        <v/>
      </c>
      <c r="U94" s="9" t="n"/>
      <c r="V94" s="9" t="n"/>
      <c r="W94" s="9" t="n"/>
      <c r="X94" s="9">
        <f>IF(C94="","",IF(COUNTIF($C$4:$C$403,C94)&gt;1,"DUPLICATE",""))</f>
        <v/>
      </c>
      <c r="Y94" s="9" t="n"/>
    </row>
    <row r="95">
      <c r="A95" s="9" t="n"/>
      <c r="B95" s="9" t="n"/>
      <c r="C95" s="9" t="n"/>
      <c r="D95" s="9" t="n"/>
      <c r="E95" s="9" t="n"/>
      <c r="F95" s="9" t="n"/>
      <c r="G95" s="9" t="n"/>
      <c r="H95" s="9" t="n"/>
      <c r="I95" s="9" t="n"/>
      <c r="J95" s="9" t="n"/>
      <c r="K95" s="9" t="n"/>
      <c r="L95" s="9" t="n"/>
      <c r="M95" s="9" t="n"/>
      <c r="N95" s="8">
        <f>IF(COUNT(I95:M95)=5,SUM(I95:M95),"")</f>
        <v/>
      </c>
      <c r="O95" s="9">
        <f>IF(N95="","",IF(N95&gt;=16,"Priority",IF(N95&gt;=12,"Active",IF(N95&gt;=8,"Nurture / research","Park"))))</f>
        <v/>
      </c>
      <c r="P95" s="9" t="n"/>
      <c r="Q95" s="9" t="n"/>
      <c r="R95" s="9" t="n"/>
      <c r="S95" s="9" t="n"/>
      <c r="T95" s="9">
        <f>IF(OR(S95="",P95="Won",P95="Lost",P95="Disqualified"),"",IF(TODAY()&gt;S95,TODAY()-S95,0))</f>
        <v/>
      </c>
      <c r="U95" s="9" t="n"/>
      <c r="V95" s="9" t="n"/>
      <c r="W95" s="9" t="n"/>
      <c r="X95" s="9">
        <f>IF(C95="","",IF(COUNTIF($C$4:$C$403,C95)&gt;1,"DUPLICATE",""))</f>
        <v/>
      </c>
      <c r="Y95" s="9" t="n"/>
    </row>
    <row r="96">
      <c r="A96" s="9" t="n"/>
      <c r="B96" s="9" t="n"/>
      <c r="C96" s="9" t="n"/>
      <c r="D96" s="9" t="n"/>
      <c r="E96" s="9" t="n"/>
      <c r="F96" s="9" t="n"/>
      <c r="G96" s="9" t="n"/>
      <c r="H96" s="9" t="n"/>
      <c r="I96" s="9" t="n"/>
      <c r="J96" s="9" t="n"/>
      <c r="K96" s="9" t="n"/>
      <c r="L96" s="9" t="n"/>
      <c r="M96" s="9" t="n"/>
      <c r="N96" s="8">
        <f>IF(COUNT(I96:M96)=5,SUM(I96:M96),"")</f>
        <v/>
      </c>
      <c r="O96" s="9">
        <f>IF(N96="","",IF(N96&gt;=16,"Priority",IF(N96&gt;=12,"Active",IF(N96&gt;=8,"Nurture / research","Park"))))</f>
        <v/>
      </c>
      <c r="P96" s="9" t="n"/>
      <c r="Q96" s="9" t="n"/>
      <c r="R96" s="9" t="n"/>
      <c r="S96" s="9" t="n"/>
      <c r="T96" s="9">
        <f>IF(OR(S96="",P96="Won",P96="Lost",P96="Disqualified"),"",IF(TODAY()&gt;S96,TODAY()-S96,0))</f>
        <v/>
      </c>
      <c r="U96" s="9" t="n"/>
      <c r="V96" s="9" t="n"/>
      <c r="W96" s="9" t="n"/>
      <c r="X96" s="9">
        <f>IF(C96="","",IF(COUNTIF($C$4:$C$403,C96)&gt;1,"DUPLICATE",""))</f>
        <v/>
      </c>
      <c r="Y96" s="9" t="n"/>
    </row>
    <row r="97">
      <c r="A97" s="9" t="n"/>
      <c r="B97" s="9" t="n"/>
      <c r="C97" s="9" t="n"/>
      <c r="D97" s="9" t="n"/>
      <c r="E97" s="9" t="n"/>
      <c r="F97" s="9" t="n"/>
      <c r="G97" s="9" t="n"/>
      <c r="H97" s="9" t="n"/>
      <c r="I97" s="9" t="n"/>
      <c r="J97" s="9" t="n"/>
      <c r="K97" s="9" t="n"/>
      <c r="L97" s="9" t="n"/>
      <c r="M97" s="9" t="n"/>
      <c r="N97" s="8">
        <f>IF(COUNT(I97:M97)=5,SUM(I97:M97),"")</f>
        <v/>
      </c>
      <c r="O97" s="9">
        <f>IF(N97="","",IF(N97&gt;=16,"Priority",IF(N97&gt;=12,"Active",IF(N97&gt;=8,"Nurture / research","Park"))))</f>
        <v/>
      </c>
      <c r="P97" s="9" t="n"/>
      <c r="Q97" s="9" t="n"/>
      <c r="R97" s="9" t="n"/>
      <c r="S97" s="9" t="n"/>
      <c r="T97" s="9">
        <f>IF(OR(S97="",P97="Won",P97="Lost",P97="Disqualified"),"",IF(TODAY()&gt;S97,TODAY()-S97,0))</f>
        <v/>
      </c>
      <c r="U97" s="9" t="n"/>
      <c r="V97" s="9" t="n"/>
      <c r="W97" s="9" t="n"/>
      <c r="X97" s="9">
        <f>IF(C97="","",IF(COUNTIF($C$4:$C$403,C97)&gt;1,"DUPLICATE",""))</f>
        <v/>
      </c>
      <c r="Y97" s="9" t="n"/>
    </row>
    <row r="98">
      <c r="A98" s="9" t="n"/>
      <c r="B98" s="9" t="n"/>
      <c r="C98" s="9" t="n"/>
      <c r="D98" s="9" t="n"/>
      <c r="E98" s="9" t="n"/>
      <c r="F98" s="9" t="n"/>
      <c r="G98" s="9" t="n"/>
      <c r="H98" s="9" t="n"/>
      <c r="I98" s="9" t="n"/>
      <c r="J98" s="9" t="n"/>
      <c r="K98" s="9" t="n"/>
      <c r="L98" s="9" t="n"/>
      <c r="M98" s="9" t="n"/>
      <c r="N98" s="8">
        <f>IF(COUNT(I98:M98)=5,SUM(I98:M98),"")</f>
        <v/>
      </c>
      <c r="O98" s="9">
        <f>IF(N98="","",IF(N98&gt;=16,"Priority",IF(N98&gt;=12,"Active",IF(N98&gt;=8,"Nurture / research","Park"))))</f>
        <v/>
      </c>
      <c r="P98" s="9" t="n"/>
      <c r="Q98" s="9" t="n"/>
      <c r="R98" s="9" t="n"/>
      <c r="S98" s="9" t="n"/>
      <c r="T98" s="9">
        <f>IF(OR(S98="",P98="Won",P98="Lost",P98="Disqualified"),"",IF(TODAY()&gt;S98,TODAY()-S98,0))</f>
        <v/>
      </c>
      <c r="U98" s="9" t="n"/>
      <c r="V98" s="9" t="n"/>
      <c r="W98" s="9" t="n"/>
      <c r="X98" s="9">
        <f>IF(C98="","",IF(COUNTIF($C$4:$C$403,C98)&gt;1,"DUPLICATE",""))</f>
        <v/>
      </c>
      <c r="Y98" s="9" t="n"/>
    </row>
    <row r="99">
      <c r="A99" s="9" t="n"/>
      <c r="B99" s="9" t="n"/>
      <c r="C99" s="9" t="n"/>
      <c r="D99" s="9" t="n"/>
      <c r="E99" s="9" t="n"/>
      <c r="F99" s="9" t="n"/>
      <c r="G99" s="9" t="n"/>
      <c r="H99" s="9" t="n"/>
      <c r="I99" s="9" t="n"/>
      <c r="J99" s="9" t="n"/>
      <c r="K99" s="9" t="n"/>
      <c r="L99" s="9" t="n"/>
      <c r="M99" s="9" t="n"/>
      <c r="N99" s="8">
        <f>IF(COUNT(I99:M99)=5,SUM(I99:M99),"")</f>
        <v/>
      </c>
      <c r="O99" s="9">
        <f>IF(N99="","",IF(N99&gt;=16,"Priority",IF(N99&gt;=12,"Active",IF(N99&gt;=8,"Nurture / research","Park"))))</f>
        <v/>
      </c>
      <c r="P99" s="9" t="n"/>
      <c r="Q99" s="9" t="n"/>
      <c r="R99" s="9" t="n"/>
      <c r="S99" s="9" t="n"/>
      <c r="T99" s="9">
        <f>IF(OR(S99="",P99="Won",P99="Lost",P99="Disqualified"),"",IF(TODAY()&gt;S99,TODAY()-S99,0))</f>
        <v/>
      </c>
      <c r="U99" s="9" t="n"/>
      <c r="V99" s="9" t="n"/>
      <c r="W99" s="9" t="n"/>
      <c r="X99" s="9">
        <f>IF(C99="","",IF(COUNTIF($C$4:$C$403,C99)&gt;1,"DUPLICATE",""))</f>
        <v/>
      </c>
      <c r="Y99" s="9" t="n"/>
    </row>
    <row r="100">
      <c r="A100" s="9" t="n"/>
      <c r="B100" s="9" t="n"/>
      <c r="C100" s="9" t="n"/>
      <c r="D100" s="9" t="n"/>
      <c r="E100" s="9" t="n"/>
      <c r="F100" s="9" t="n"/>
      <c r="G100" s="9" t="n"/>
      <c r="H100" s="9" t="n"/>
      <c r="I100" s="9" t="n"/>
      <c r="J100" s="9" t="n"/>
      <c r="K100" s="9" t="n"/>
      <c r="L100" s="9" t="n"/>
      <c r="M100" s="9" t="n"/>
      <c r="N100" s="8">
        <f>IF(COUNT(I100:M100)=5,SUM(I100:M100),"")</f>
        <v/>
      </c>
      <c r="O100" s="9">
        <f>IF(N100="","",IF(N100&gt;=16,"Priority",IF(N100&gt;=12,"Active",IF(N100&gt;=8,"Nurture / research","Park"))))</f>
        <v/>
      </c>
      <c r="P100" s="9" t="n"/>
      <c r="Q100" s="9" t="n"/>
      <c r="R100" s="9" t="n"/>
      <c r="S100" s="9" t="n"/>
      <c r="T100" s="9">
        <f>IF(OR(S100="",P100="Won",P100="Lost",P100="Disqualified"),"",IF(TODAY()&gt;S100,TODAY()-S100,0))</f>
        <v/>
      </c>
      <c r="U100" s="9" t="n"/>
      <c r="V100" s="9" t="n"/>
      <c r="W100" s="9" t="n"/>
      <c r="X100" s="9">
        <f>IF(C100="","",IF(COUNTIF($C$4:$C$403,C100)&gt;1,"DUPLICATE",""))</f>
        <v/>
      </c>
      <c r="Y100" s="9" t="n"/>
    </row>
    <row r="101">
      <c r="A101" s="9" t="n"/>
      <c r="B101" s="9" t="n"/>
      <c r="C101" s="9" t="n"/>
      <c r="D101" s="9" t="n"/>
      <c r="E101" s="9" t="n"/>
      <c r="F101" s="9" t="n"/>
      <c r="G101" s="9" t="n"/>
      <c r="H101" s="9" t="n"/>
      <c r="I101" s="9" t="n"/>
      <c r="J101" s="9" t="n"/>
      <c r="K101" s="9" t="n"/>
      <c r="L101" s="9" t="n"/>
      <c r="M101" s="9" t="n"/>
      <c r="N101" s="8">
        <f>IF(COUNT(I101:M101)=5,SUM(I101:M101),"")</f>
        <v/>
      </c>
      <c r="O101" s="9">
        <f>IF(N101="","",IF(N101&gt;=16,"Priority",IF(N101&gt;=12,"Active",IF(N101&gt;=8,"Nurture / research","Park"))))</f>
        <v/>
      </c>
      <c r="P101" s="9" t="n"/>
      <c r="Q101" s="9" t="n"/>
      <c r="R101" s="9" t="n"/>
      <c r="S101" s="9" t="n"/>
      <c r="T101" s="9">
        <f>IF(OR(S101="",P101="Won",P101="Lost",P101="Disqualified"),"",IF(TODAY()&gt;S101,TODAY()-S101,0))</f>
        <v/>
      </c>
      <c r="U101" s="9" t="n"/>
      <c r="V101" s="9" t="n"/>
      <c r="W101" s="9" t="n"/>
      <c r="X101" s="9">
        <f>IF(C101="","",IF(COUNTIF($C$4:$C$403,C101)&gt;1,"DUPLICATE",""))</f>
        <v/>
      </c>
      <c r="Y101" s="9" t="n"/>
    </row>
    <row r="102">
      <c r="A102" s="9" t="n"/>
      <c r="B102" s="9" t="n"/>
      <c r="C102" s="9" t="n"/>
      <c r="D102" s="9" t="n"/>
      <c r="E102" s="9" t="n"/>
      <c r="F102" s="9" t="n"/>
      <c r="G102" s="9" t="n"/>
      <c r="H102" s="9" t="n"/>
      <c r="I102" s="9" t="n"/>
      <c r="J102" s="9" t="n"/>
      <c r="K102" s="9" t="n"/>
      <c r="L102" s="9" t="n"/>
      <c r="M102" s="9" t="n"/>
      <c r="N102" s="8">
        <f>IF(COUNT(I102:M102)=5,SUM(I102:M102),"")</f>
        <v/>
      </c>
      <c r="O102" s="9">
        <f>IF(N102="","",IF(N102&gt;=16,"Priority",IF(N102&gt;=12,"Active",IF(N102&gt;=8,"Nurture / research","Park"))))</f>
        <v/>
      </c>
      <c r="P102" s="9" t="n"/>
      <c r="Q102" s="9" t="n"/>
      <c r="R102" s="9" t="n"/>
      <c r="S102" s="9" t="n"/>
      <c r="T102" s="9">
        <f>IF(OR(S102="",P102="Won",P102="Lost",P102="Disqualified"),"",IF(TODAY()&gt;S102,TODAY()-S102,0))</f>
        <v/>
      </c>
      <c r="U102" s="9" t="n"/>
      <c r="V102" s="9" t="n"/>
      <c r="W102" s="9" t="n"/>
      <c r="X102" s="9">
        <f>IF(C102="","",IF(COUNTIF($C$4:$C$403,C102)&gt;1,"DUPLICATE",""))</f>
        <v/>
      </c>
      <c r="Y102" s="9" t="n"/>
    </row>
    <row r="103">
      <c r="A103" s="9" t="n"/>
      <c r="B103" s="9" t="n"/>
      <c r="C103" s="9" t="n"/>
      <c r="D103" s="9" t="n"/>
      <c r="E103" s="9" t="n"/>
      <c r="F103" s="9" t="n"/>
      <c r="G103" s="9" t="n"/>
      <c r="H103" s="9" t="n"/>
      <c r="I103" s="9" t="n"/>
      <c r="J103" s="9" t="n"/>
      <c r="K103" s="9" t="n"/>
      <c r="L103" s="9" t="n"/>
      <c r="M103" s="9" t="n"/>
      <c r="N103" s="8">
        <f>IF(COUNT(I103:M103)=5,SUM(I103:M103),"")</f>
        <v/>
      </c>
      <c r="O103" s="9">
        <f>IF(N103="","",IF(N103&gt;=16,"Priority",IF(N103&gt;=12,"Active",IF(N103&gt;=8,"Nurture / research","Park"))))</f>
        <v/>
      </c>
      <c r="P103" s="9" t="n"/>
      <c r="Q103" s="9" t="n"/>
      <c r="R103" s="9" t="n"/>
      <c r="S103" s="9" t="n"/>
      <c r="T103" s="9">
        <f>IF(OR(S103="",P103="Won",P103="Lost",P103="Disqualified"),"",IF(TODAY()&gt;S103,TODAY()-S103,0))</f>
        <v/>
      </c>
      <c r="U103" s="9" t="n"/>
      <c r="V103" s="9" t="n"/>
      <c r="W103" s="9" t="n"/>
      <c r="X103" s="9">
        <f>IF(C103="","",IF(COUNTIF($C$4:$C$403,C103)&gt;1,"DUPLICATE",""))</f>
        <v/>
      </c>
      <c r="Y103" s="9" t="n"/>
    </row>
    <row r="104">
      <c r="A104" s="9" t="n"/>
      <c r="B104" s="9" t="n"/>
      <c r="C104" s="9" t="n"/>
      <c r="D104" s="9" t="n"/>
      <c r="E104" s="9" t="n"/>
      <c r="F104" s="9" t="n"/>
      <c r="G104" s="9" t="n"/>
      <c r="H104" s="9" t="n"/>
      <c r="I104" s="9" t="n"/>
      <c r="J104" s="9" t="n"/>
      <c r="K104" s="9" t="n"/>
      <c r="L104" s="9" t="n"/>
      <c r="M104" s="9" t="n"/>
      <c r="N104" s="8">
        <f>IF(COUNT(I104:M104)=5,SUM(I104:M104),"")</f>
        <v/>
      </c>
      <c r="O104" s="9">
        <f>IF(N104="","",IF(N104&gt;=16,"Priority",IF(N104&gt;=12,"Active",IF(N104&gt;=8,"Nurture / research","Park"))))</f>
        <v/>
      </c>
      <c r="P104" s="9" t="n"/>
      <c r="Q104" s="9" t="n"/>
      <c r="R104" s="9" t="n"/>
      <c r="S104" s="9" t="n"/>
      <c r="T104" s="9">
        <f>IF(OR(S104="",P104="Won",P104="Lost",P104="Disqualified"),"",IF(TODAY()&gt;S104,TODAY()-S104,0))</f>
        <v/>
      </c>
      <c r="U104" s="9" t="n"/>
      <c r="V104" s="9" t="n"/>
      <c r="W104" s="9" t="n"/>
      <c r="X104" s="9">
        <f>IF(C104="","",IF(COUNTIF($C$4:$C$403,C104)&gt;1,"DUPLICATE",""))</f>
        <v/>
      </c>
      <c r="Y104" s="9" t="n"/>
    </row>
    <row r="105">
      <c r="A105" s="9" t="n"/>
      <c r="B105" s="9" t="n"/>
      <c r="C105" s="9" t="n"/>
      <c r="D105" s="9" t="n"/>
      <c r="E105" s="9" t="n"/>
      <c r="F105" s="9" t="n"/>
      <c r="G105" s="9" t="n"/>
      <c r="H105" s="9" t="n"/>
      <c r="I105" s="9" t="n"/>
      <c r="J105" s="9" t="n"/>
      <c r="K105" s="9" t="n"/>
      <c r="L105" s="9" t="n"/>
      <c r="M105" s="9" t="n"/>
      <c r="N105" s="8">
        <f>IF(COUNT(I105:M105)=5,SUM(I105:M105),"")</f>
        <v/>
      </c>
      <c r="O105" s="9">
        <f>IF(N105="","",IF(N105&gt;=16,"Priority",IF(N105&gt;=12,"Active",IF(N105&gt;=8,"Nurture / research","Park"))))</f>
        <v/>
      </c>
      <c r="P105" s="9" t="n"/>
      <c r="Q105" s="9" t="n"/>
      <c r="R105" s="9" t="n"/>
      <c r="S105" s="9" t="n"/>
      <c r="T105" s="9">
        <f>IF(OR(S105="",P105="Won",P105="Lost",P105="Disqualified"),"",IF(TODAY()&gt;S105,TODAY()-S105,0))</f>
        <v/>
      </c>
      <c r="U105" s="9" t="n"/>
      <c r="V105" s="9" t="n"/>
      <c r="W105" s="9" t="n"/>
      <c r="X105" s="9">
        <f>IF(C105="","",IF(COUNTIF($C$4:$C$403,C105)&gt;1,"DUPLICATE",""))</f>
        <v/>
      </c>
      <c r="Y105" s="9" t="n"/>
    </row>
    <row r="106">
      <c r="A106" s="9" t="n"/>
      <c r="B106" s="9" t="n"/>
      <c r="C106" s="9" t="n"/>
      <c r="D106" s="9" t="n"/>
      <c r="E106" s="9" t="n"/>
      <c r="F106" s="9" t="n"/>
      <c r="G106" s="9" t="n"/>
      <c r="H106" s="9" t="n"/>
      <c r="I106" s="9" t="n"/>
      <c r="J106" s="9" t="n"/>
      <c r="K106" s="9" t="n"/>
      <c r="L106" s="9" t="n"/>
      <c r="M106" s="9" t="n"/>
      <c r="N106" s="8">
        <f>IF(COUNT(I106:M106)=5,SUM(I106:M106),"")</f>
        <v/>
      </c>
      <c r="O106" s="9">
        <f>IF(N106="","",IF(N106&gt;=16,"Priority",IF(N106&gt;=12,"Active",IF(N106&gt;=8,"Nurture / research","Park"))))</f>
        <v/>
      </c>
      <c r="P106" s="9" t="n"/>
      <c r="Q106" s="9" t="n"/>
      <c r="R106" s="9" t="n"/>
      <c r="S106" s="9" t="n"/>
      <c r="T106" s="9">
        <f>IF(OR(S106="",P106="Won",P106="Lost",P106="Disqualified"),"",IF(TODAY()&gt;S106,TODAY()-S106,0))</f>
        <v/>
      </c>
      <c r="U106" s="9" t="n"/>
      <c r="V106" s="9" t="n"/>
      <c r="W106" s="9" t="n"/>
      <c r="X106" s="9">
        <f>IF(C106="","",IF(COUNTIF($C$4:$C$403,C106)&gt;1,"DUPLICATE",""))</f>
        <v/>
      </c>
      <c r="Y106" s="9" t="n"/>
    </row>
    <row r="107">
      <c r="A107" s="9" t="n"/>
      <c r="B107" s="9" t="n"/>
      <c r="C107" s="9" t="n"/>
      <c r="D107" s="9" t="n"/>
      <c r="E107" s="9" t="n"/>
      <c r="F107" s="9" t="n"/>
      <c r="G107" s="9" t="n"/>
      <c r="H107" s="9" t="n"/>
      <c r="I107" s="9" t="n"/>
      <c r="J107" s="9" t="n"/>
      <c r="K107" s="9" t="n"/>
      <c r="L107" s="9" t="n"/>
      <c r="M107" s="9" t="n"/>
      <c r="N107" s="8">
        <f>IF(COUNT(I107:M107)=5,SUM(I107:M107),"")</f>
        <v/>
      </c>
      <c r="O107" s="9">
        <f>IF(N107="","",IF(N107&gt;=16,"Priority",IF(N107&gt;=12,"Active",IF(N107&gt;=8,"Nurture / research","Park"))))</f>
        <v/>
      </c>
      <c r="P107" s="9" t="n"/>
      <c r="Q107" s="9" t="n"/>
      <c r="R107" s="9" t="n"/>
      <c r="S107" s="9" t="n"/>
      <c r="T107" s="9">
        <f>IF(OR(S107="",P107="Won",P107="Lost",P107="Disqualified"),"",IF(TODAY()&gt;S107,TODAY()-S107,0))</f>
        <v/>
      </c>
      <c r="U107" s="9" t="n"/>
      <c r="V107" s="9" t="n"/>
      <c r="W107" s="9" t="n"/>
      <c r="X107" s="9">
        <f>IF(C107="","",IF(COUNTIF($C$4:$C$403,C107)&gt;1,"DUPLICATE",""))</f>
        <v/>
      </c>
      <c r="Y107" s="9" t="n"/>
    </row>
    <row r="108">
      <c r="A108" s="9" t="n"/>
      <c r="B108" s="9" t="n"/>
      <c r="C108" s="9" t="n"/>
      <c r="D108" s="9" t="n"/>
      <c r="E108" s="9" t="n"/>
      <c r="F108" s="9" t="n"/>
      <c r="G108" s="9" t="n"/>
      <c r="H108" s="9" t="n"/>
      <c r="I108" s="9" t="n"/>
      <c r="J108" s="9" t="n"/>
      <c r="K108" s="9" t="n"/>
      <c r="L108" s="9" t="n"/>
      <c r="M108" s="9" t="n"/>
      <c r="N108" s="8">
        <f>IF(COUNT(I108:M108)=5,SUM(I108:M108),"")</f>
        <v/>
      </c>
      <c r="O108" s="9">
        <f>IF(N108="","",IF(N108&gt;=16,"Priority",IF(N108&gt;=12,"Active",IF(N108&gt;=8,"Nurture / research","Park"))))</f>
        <v/>
      </c>
      <c r="P108" s="9" t="n"/>
      <c r="Q108" s="9" t="n"/>
      <c r="R108" s="9" t="n"/>
      <c r="S108" s="9" t="n"/>
      <c r="T108" s="9">
        <f>IF(OR(S108="",P108="Won",P108="Lost",P108="Disqualified"),"",IF(TODAY()&gt;S108,TODAY()-S108,0))</f>
        <v/>
      </c>
      <c r="U108" s="9" t="n"/>
      <c r="V108" s="9" t="n"/>
      <c r="W108" s="9" t="n"/>
      <c r="X108" s="9">
        <f>IF(C108="","",IF(COUNTIF($C$4:$C$403,C108)&gt;1,"DUPLICATE",""))</f>
        <v/>
      </c>
      <c r="Y108" s="9" t="n"/>
    </row>
    <row r="109">
      <c r="A109" s="9" t="n"/>
      <c r="B109" s="9" t="n"/>
      <c r="C109" s="9" t="n"/>
      <c r="D109" s="9" t="n"/>
      <c r="E109" s="9" t="n"/>
      <c r="F109" s="9" t="n"/>
      <c r="G109" s="9" t="n"/>
      <c r="H109" s="9" t="n"/>
      <c r="I109" s="9" t="n"/>
      <c r="J109" s="9" t="n"/>
      <c r="K109" s="9" t="n"/>
      <c r="L109" s="9" t="n"/>
      <c r="M109" s="9" t="n"/>
      <c r="N109" s="8">
        <f>IF(COUNT(I109:M109)=5,SUM(I109:M109),"")</f>
        <v/>
      </c>
      <c r="O109" s="9">
        <f>IF(N109="","",IF(N109&gt;=16,"Priority",IF(N109&gt;=12,"Active",IF(N109&gt;=8,"Nurture / research","Park"))))</f>
        <v/>
      </c>
      <c r="P109" s="9" t="n"/>
      <c r="Q109" s="9" t="n"/>
      <c r="R109" s="9" t="n"/>
      <c r="S109" s="9" t="n"/>
      <c r="T109" s="9">
        <f>IF(OR(S109="",P109="Won",P109="Lost",P109="Disqualified"),"",IF(TODAY()&gt;S109,TODAY()-S109,0))</f>
        <v/>
      </c>
      <c r="U109" s="9" t="n"/>
      <c r="V109" s="9" t="n"/>
      <c r="W109" s="9" t="n"/>
      <c r="X109" s="9">
        <f>IF(C109="","",IF(COUNTIF($C$4:$C$403,C109)&gt;1,"DUPLICATE",""))</f>
        <v/>
      </c>
      <c r="Y109" s="9" t="n"/>
    </row>
    <row r="110">
      <c r="A110" s="9" t="n"/>
      <c r="B110" s="9" t="n"/>
      <c r="C110" s="9" t="n"/>
      <c r="D110" s="9" t="n"/>
      <c r="E110" s="9" t="n"/>
      <c r="F110" s="9" t="n"/>
      <c r="G110" s="9" t="n"/>
      <c r="H110" s="9" t="n"/>
      <c r="I110" s="9" t="n"/>
      <c r="J110" s="9" t="n"/>
      <c r="K110" s="9" t="n"/>
      <c r="L110" s="9" t="n"/>
      <c r="M110" s="9" t="n"/>
      <c r="N110" s="8">
        <f>IF(COUNT(I110:M110)=5,SUM(I110:M110),"")</f>
        <v/>
      </c>
      <c r="O110" s="9">
        <f>IF(N110="","",IF(N110&gt;=16,"Priority",IF(N110&gt;=12,"Active",IF(N110&gt;=8,"Nurture / research","Park"))))</f>
        <v/>
      </c>
      <c r="P110" s="9" t="n"/>
      <c r="Q110" s="9" t="n"/>
      <c r="R110" s="9" t="n"/>
      <c r="S110" s="9" t="n"/>
      <c r="T110" s="9">
        <f>IF(OR(S110="",P110="Won",P110="Lost",P110="Disqualified"),"",IF(TODAY()&gt;S110,TODAY()-S110,0))</f>
        <v/>
      </c>
      <c r="U110" s="9" t="n"/>
      <c r="V110" s="9" t="n"/>
      <c r="W110" s="9" t="n"/>
      <c r="X110" s="9">
        <f>IF(C110="","",IF(COUNTIF($C$4:$C$403,C110)&gt;1,"DUPLICATE",""))</f>
        <v/>
      </c>
      <c r="Y110" s="9" t="n"/>
    </row>
    <row r="111">
      <c r="A111" s="9" t="n"/>
      <c r="B111" s="9" t="n"/>
      <c r="C111" s="9" t="n"/>
      <c r="D111" s="9" t="n"/>
      <c r="E111" s="9" t="n"/>
      <c r="F111" s="9" t="n"/>
      <c r="G111" s="9" t="n"/>
      <c r="H111" s="9" t="n"/>
      <c r="I111" s="9" t="n"/>
      <c r="J111" s="9" t="n"/>
      <c r="K111" s="9" t="n"/>
      <c r="L111" s="9" t="n"/>
      <c r="M111" s="9" t="n"/>
      <c r="N111" s="8">
        <f>IF(COUNT(I111:M111)=5,SUM(I111:M111),"")</f>
        <v/>
      </c>
      <c r="O111" s="9">
        <f>IF(N111="","",IF(N111&gt;=16,"Priority",IF(N111&gt;=12,"Active",IF(N111&gt;=8,"Nurture / research","Park"))))</f>
        <v/>
      </c>
      <c r="P111" s="9" t="n"/>
      <c r="Q111" s="9" t="n"/>
      <c r="R111" s="9" t="n"/>
      <c r="S111" s="9" t="n"/>
      <c r="T111" s="9">
        <f>IF(OR(S111="",P111="Won",P111="Lost",P111="Disqualified"),"",IF(TODAY()&gt;S111,TODAY()-S111,0))</f>
        <v/>
      </c>
      <c r="U111" s="9" t="n"/>
      <c r="V111" s="9" t="n"/>
      <c r="W111" s="9" t="n"/>
      <c r="X111" s="9">
        <f>IF(C111="","",IF(COUNTIF($C$4:$C$403,C111)&gt;1,"DUPLICATE",""))</f>
        <v/>
      </c>
      <c r="Y111" s="9" t="n"/>
    </row>
    <row r="112">
      <c r="A112" s="9" t="n"/>
      <c r="B112" s="9" t="n"/>
      <c r="C112" s="9" t="n"/>
      <c r="D112" s="9" t="n"/>
      <c r="E112" s="9" t="n"/>
      <c r="F112" s="9" t="n"/>
      <c r="G112" s="9" t="n"/>
      <c r="H112" s="9" t="n"/>
      <c r="I112" s="9" t="n"/>
      <c r="J112" s="9" t="n"/>
      <c r="K112" s="9" t="n"/>
      <c r="L112" s="9" t="n"/>
      <c r="M112" s="9" t="n"/>
      <c r="N112" s="8">
        <f>IF(COUNT(I112:M112)=5,SUM(I112:M112),"")</f>
        <v/>
      </c>
      <c r="O112" s="9">
        <f>IF(N112="","",IF(N112&gt;=16,"Priority",IF(N112&gt;=12,"Active",IF(N112&gt;=8,"Nurture / research","Park"))))</f>
        <v/>
      </c>
      <c r="P112" s="9" t="n"/>
      <c r="Q112" s="9" t="n"/>
      <c r="R112" s="9" t="n"/>
      <c r="S112" s="9" t="n"/>
      <c r="T112" s="9">
        <f>IF(OR(S112="",P112="Won",P112="Lost",P112="Disqualified"),"",IF(TODAY()&gt;S112,TODAY()-S112,0))</f>
        <v/>
      </c>
      <c r="U112" s="9" t="n"/>
      <c r="V112" s="9" t="n"/>
      <c r="W112" s="9" t="n"/>
      <c r="X112" s="9">
        <f>IF(C112="","",IF(COUNTIF($C$4:$C$403,C112)&gt;1,"DUPLICATE",""))</f>
        <v/>
      </c>
      <c r="Y112" s="9" t="n"/>
    </row>
    <row r="113">
      <c r="A113" s="9" t="n"/>
      <c r="B113" s="9" t="n"/>
      <c r="C113" s="9" t="n"/>
      <c r="D113" s="9" t="n"/>
      <c r="E113" s="9" t="n"/>
      <c r="F113" s="9" t="n"/>
      <c r="G113" s="9" t="n"/>
      <c r="H113" s="9" t="n"/>
      <c r="I113" s="9" t="n"/>
      <c r="J113" s="9" t="n"/>
      <c r="K113" s="9" t="n"/>
      <c r="L113" s="9" t="n"/>
      <c r="M113" s="9" t="n"/>
      <c r="N113" s="8">
        <f>IF(COUNT(I113:M113)=5,SUM(I113:M113),"")</f>
        <v/>
      </c>
      <c r="O113" s="9">
        <f>IF(N113="","",IF(N113&gt;=16,"Priority",IF(N113&gt;=12,"Active",IF(N113&gt;=8,"Nurture / research","Park"))))</f>
        <v/>
      </c>
      <c r="P113" s="9" t="n"/>
      <c r="Q113" s="9" t="n"/>
      <c r="R113" s="9" t="n"/>
      <c r="S113" s="9" t="n"/>
      <c r="T113" s="9">
        <f>IF(OR(S113="",P113="Won",P113="Lost",P113="Disqualified"),"",IF(TODAY()&gt;S113,TODAY()-S113,0))</f>
        <v/>
      </c>
      <c r="U113" s="9" t="n"/>
      <c r="V113" s="9" t="n"/>
      <c r="W113" s="9" t="n"/>
      <c r="X113" s="9">
        <f>IF(C113="","",IF(COUNTIF($C$4:$C$403,C113)&gt;1,"DUPLICATE",""))</f>
        <v/>
      </c>
      <c r="Y113" s="9" t="n"/>
    </row>
    <row r="114">
      <c r="A114" s="9" t="n"/>
      <c r="B114" s="9" t="n"/>
      <c r="C114" s="9" t="n"/>
      <c r="D114" s="9" t="n"/>
      <c r="E114" s="9" t="n"/>
      <c r="F114" s="9" t="n"/>
      <c r="G114" s="9" t="n"/>
      <c r="H114" s="9" t="n"/>
      <c r="I114" s="9" t="n"/>
      <c r="J114" s="9" t="n"/>
      <c r="K114" s="9" t="n"/>
      <c r="L114" s="9" t="n"/>
      <c r="M114" s="9" t="n"/>
      <c r="N114" s="8">
        <f>IF(COUNT(I114:M114)=5,SUM(I114:M114),"")</f>
        <v/>
      </c>
      <c r="O114" s="9">
        <f>IF(N114="","",IF(N114&gt;=16,"Priority",IF(N114&gt;=12,"Active",IF(N114&gt;=8,"Nurture / research","Park"))))</f>
        <v/>
      </c>
      <c r="P114" s="9" t="n"/>
      <c r="Q114" s="9" t="n"/>
      <c r="R114" s="9" t="n"/>
      <c r="S114" s="9" t="n"/>
      <c r="T114" s="9">
        <f>IF(OR(S114="",P114="Won",P114="Lost",P114="Disqualified"),"",IF(TODAY()&gt;S114,TODAY()-S114,0))</f>
        <v/>
      </c>
      <c r="U114" s="9" t="n"/>
      <c r="V114" s="9" t="n"/>
      <c r="W114" s="9" t="n"/>
      <c r="X114" s="9">
        <f>IF(C114="","",IF(COUNTIF($C$4:$C$403,C114)&gt;1,"DUPLICATE",""))</f>
        <v/>
      </c>
      <c r="Y114" s="9" t="n"/>
    </row>
    <row r="115">
      <c r="A115" s="9" t="n"/>
      <c r="B115" s="9" t="n"/>
      <c r="C115" s="9" t="n"/>
      <c r="D115" s="9" t="n"/>
      <c r="E115" s="9" t="n"/>
      <c r="F115" s="9" t="n"/>
      <c r="G115" s="9" t="n"/>
      <c r="H115" s="9" t="n"/>
      <c r="I115" s="9" t="n"/>
      <c r="J115" s="9" t="n"/>
      <c r="K115" s="9" t="n"/>
      <c r="L115" s="9" t="n"/>
      <c r="M115" s="9" t="n"/>
      <c r="N115" s="8">
        <f>IF(COUNT(I115:M115)=5,SUM(I115:M115),"")</f>
        <v/>
      </c>
      <c r="O115" s="9">
        <f>IF(N115="","",IF(N115&gt;=16,"Priority",IF(N115&gt;=12,"Active",IF(N115&gt;=8,"Nurture / research","Park"))))</f>
        <v/>
      </c>
      <c r="P115" s="9" t="n"/>
      <c r="Q115" s="9" t="n"/>
      <c r="R115" s="9" t="n"/>
      <c r="S115" s="9" t="n"/>
      <c r="T115" s="9">
        <f>IF(OR(S115="",P115="Won",P115="Lost",P115="Disqualified"),"",IF(TODAY()&gt;S115,TODAY()-S115,0))</f>
        <v/>
      </c>
      <c r="U115" s="9" t="n"/>
      <c r="V115" s="9" t="n"/>
      <c r="W115" s="9" t="n"/>
      <c r="X115" s="9">
        <f>IF(C115="","",IF(COUNTIF($C$4:$C$403,C115)&gt;1,"DUPLICATE",""))</f>
        <v/>
      </c>
      <c r="Y115" s="9" t="n"/>
    </row>
    <row r="116">
      <c r="A116" s="9" t="n"/>
      <c r="B116" s="9" t="n"/>
      <c r="C116" s="9" t="n"/>
      <c r="D116" s="9" t="n"/>
      <c r="E116" s="9" t="n"/>
      <c r="F116" s="9" t="n"/>
      <c r="G116" s="9" t="n"/>
      <c r="H116" s="9" t="n"/>
      <c r="I116" s="9" t="n"/>
      <c r="J116" s="9" t="n"/>
      <c r="K116" s="9" t="n"/>
      <c r="L116" s="9" t="n"/>
      <c r="M116" s="9" t="n"/>
      <c r="N116" s="8">
        <f>IF(COUNT(I116:M116)=5,SUM(I116:M116),"")</f>
        <v/>
      </c>
      <c r="O116" s="9">
        <f>IF(N116="","",IF(N116&gt;=16,"Priority",IF(N116&gt;=12,"Active",IF(N116&gt;=8,"Nurture / research","Park"))))</f>
        <v/>
      </c>
      <c r="P116" s="9" t="n"/>
      <c r="Q116" s="9" t="n"/>
      <c r="R116" s="9" t="n"/>
      <c r="S116" s="9" t="n"/>
      <c r="T116" s="9">
        <f>IF(OR(S116="",P116="Won",P116="Lost",P116="Disqualified"),"",IF(TODAY()&gt;S116,TODAY()-S116,0))</f>
        <v/>
      </c>
      <c r="U116" s="9" t="n"/>
      <c r="V116" s="9" t="n"/>
      <c r="W116" s="9" t="n"/>
      <c r="X116" s="9">
        <f>IF(C116="","",IF(COUNTIF($C$4:$C$403,C116)&gt;1,"DUPLICATE",""))</f>
        <v/>
      </c>
      <c r="Y116" s="9" t="n"/>
    </row>
    <row r="117">
      <c r="A117" s="9" t="n"/>
      <c r="B117" s="9" t="n"/>
      <c r="C117" s="9" t="n"/>
      <c r="D117" s="9" t="n"/>
      <c r="E117" s="9" t="n"/>
      <c r="F117" s="9" t="n"/>
      <c r="G117" s="9" t="n"/>
      <c r="H117" s="9" t="n"/>
      <c r="I117" s="9" t="n"/>
      <c r="J117" s="9" t="n"/>
      <c r="K117" s="9" t="n"/>
      <c r="L117" s="9" t="n"/>
      <c r="M117" s="9" t="n"/>
      <c r="N117" s="8">
        <f>IF(COUNT(I117:M117)=5,SUM(I117:M117),"")</f>
        <v/>
      </c>
      <c r="O117" s="9">
        <f>IF(N117="","",IF(N117&gt;=16,"Priority",IF(N117&gt;=12,"Active",IF(N117&gt;=8,"Nurture / research","Park"))))</f>
        <v/>
      </c>
      <c r="P117" s="9" t="n"/>
      <c r="Q117" s="9" t="n"/>
      <c r="R117" s="9" t="n"/>
      <c r="S117" s="9" t="n"/>
      <c r="T117" s="9">
        <f>IF(OR(S117="",P117="Won",P117="Lost",P117="Disqualified"),"",IF(TODAY()&gt;S117,TODAY()-S117,0))</f>
        <v/>
      </c>
      <c r="U117" s="9" t="n"/>
      <c r="V117" s="9" t="n"/>
      <c r="W117" s="9" t="n"/>
      <c r="X117" s="9">
        <f>IF(C117="","",IF(COUNTIF($C$4:$C$403,C117)&gt;1,"DUPLICATE",""))</f>
        <v/>
      </c>
      <c r="Y117" s="9" t="n"/>
    </row>
    <row r="118">
      <c r="A118" s="9" t="n"/>
      <c r="B118" s="9" t="n"/>
      <c r="C118" s="9" t="n"/>
      <c r="D118" s="9" t="n"/>
      <c r="E118" s="9" t="n"/>
      <c r="F118" s="9" t="n"/>
      <c r="G118" s="9" t="n"/>
      <c r="H118" s="9" t="n"/>
      <c r="I118" s="9" t="n"/>
      <c r="J118" s="9" t="n"/>
      <c r="K118" s="9" t="n"/>
      <c r="L118" s="9" t="n"/>
      <c r="M118" s="9" t="n"/>
      <c r="N118" s="8">
        <f>IF(COUNT(I118:M118)=5,SUM(I118:M118),"")</f>
        <v/>
      </c>
      <c r="O118" s="9">
        <f>IF(N118="","",IF(N118&gt;=16,"Priority",IF(N118&gt;=12,"Active",IF(N118&gt;=8,"Nurture / research","Park"))))</f>
        <v/>
      </c>
      <c r="P118" s="9" t="n"/>
      <c r="Q118" s="9" t="n"/>
      <c r="R118" s="9" t="n"/>
      <c r="S118" s="9" t="n"/>
      <c r="T118" s="9">
        <f>IF(OR(S118="",P118="Won",P118="Lost",P118="Disqualified"),"",IF(TODAY()&gt;S118,TODAY()-S118,0))</f>
        <v/>
      </c>
      <c r="U118" s="9" t="n"/>
      <c r="V118" s="9" t="n"/>
      <c r="W118" s="9" t="n"/>
      <c r="X118" s="9">
        <f>IF(C118="","",IF(COUNTIF($C$4:$C$403,C118)&gt;1,"DUPLICATE",""))</f>
        <v/>
      </c>
      <c r="Y118" s="9" t="n"/>
    </row>
    <row r="119">
      <c r="A119" s="9" t="n"/>
      <c r="B119" s="9" t="n"/>
      <c r="C119" s="9" t="n"/>
      <c r="D119" s="9" t="n"/>
      <c r="E119" s="9" t="n"/>
      <c r="F119" s="9" t="n"/>
      <c r="G119" s="9" t="n"/>
      <c r="H119" s="9" t="n"/>
      <c r="I119" s="9" t="n"/>
      <c r="J119" s="9" t="n"/>
      <c r="K119" s="9" t="n"/>
      <c r="L119" s="9" t="n"/>
      <c r="M119" s="9" t="n"/>
      <c r="N119" s="8">
        <f>IF(COUNT(I119:M119)=5,SUM(I119:M119),"")</f>
        <v/>
      </c>
      <c r="O119" s="9">
        <f>IF(N119="","",IF(N119&gt;=16,"Priority",IF(N119&gt;=12,"Active",IF(N119&gt;=8,"Nurture / research","Park"))))</f>
        <v/>
      </c>
      <c r="P119" s="9" t="n"/>
      <c r="Q119" s="9" t="n"/>
      <c r="R119" s="9" t="n"/>
      <c r="S119" s="9" t="n"/>
      <c r="T119" s="9">
        <f>IF(OR(S119="",P119="Won",P119="Lost",P119="Disqualified"),"",IF(TODAY()&gt;S119,TODAY()-S119,0))</f>
        <v/>
      </c>
      <c r="U119" s="9" t="n"/>
      <c r="V119" s="9" t="n"/>
      <c r="W119" s="9" t="n"/>
      <c r="X119" s="9">
        <f>IF(C119="","",IF(COUNTIF($C$4:$C$403,C119)&gt;1,"DUPLICATE",""))</f>
        <v/>
      </c>
      <c r="Y119" s="9" t="n"/>
    </row>
    <row r="120">
      <c r="A120" s="9" t="n"/>
      <c r="B120" s="9" t="n"/>
      <c r="C120" s="9" t="n"/>
      <c r="D120" s="9" t="n"/>
      <c r="E120" s="9" t="n"/>
      <c r="F120" s="9" t="n"/>
      <c r="G120" s="9" t="n"/>
      <c r="H120" s="9" t="n"/>
      <c r="I120" s="9" t="n"/>
      <c r="J120" s="9" t="n"/>
      <c r="K120" s="9" t="n"/>
      <c r="L120" s="9" t="n"/>
      <c r="M120" s="9" t="n"/>
      <c r="N120" s="8">
        <f>IF(COUNT(I120:M120)=5,SUM(I120:M120),"")</f>
        <v/>
      </c>
      <c r="O120" s="9">
        <f>IF(N120="","",IF(N120&gt;=16,"Priority",IF(N120&gt;=12,"Active",IF(N120&gt;=8,"Nurture / research","Park"))))</f>
        <v/>
      </c>
      <c r="P120" s="9" t="n"/>
      <c r="Q120" s="9" t="n"/>
      <c r="R120" s="9" t="n"/>
      <c r="S120" s="9" t="n"/>
      <c r="T120" s="9">
        <f>IF(OR(S120="",P120="Won",P120="Lost",P120="Disqualified"),"",IF(TODAY()&gt;S120,TODAY()-S120,0))</f>
        <v/>
      </c>
      <c r="U120" s="9" t="n"/>
      <c r="V120" s="9" t="n"/>
      <c r="W120" s="9" t="n"/>
      <c r="X120" s="9">
        <f>IF(C120="","",IF(COUNTIF($C$4:$C$403,C120)&gt;1,"DUPLICATE",""))</f>
        <v/>
      </c>
      <c r="Y120" s="9" t="n"/>
    </row>
    <row r="121">
      <c r="A121" s="9" t="n"/>
      <c r="B121" s="9" t="n"/>
      <c r="C121" s="9" t="n"/>
      <c r="D121" s="9" t="n"/>
      <c r="E121" s="9" t="n"/>
      <c r="F121" s="9" t="n"/>
      <c r="G121" s="9" t="n"/>
      <c r="H121" s="9" t="n"/>
      <c r="I121" s="9" t="n"/>
      <c r="J121" s="9" t="n"/>
      <c r="K121" s="9" t="n"/>
      <c r="L121" s="9" t="n"/>
      <c r="M121" s="9" t="n"/>
      <c r="N121" s="8">
        <f>IF(COUNT(I121:M121)=5,SUM(I121:M121),"")</f>
        <v/>
      </c>
      <c r="O121" s="9">
        <f>IF(N121="","",IF(N121&gt;=16,"Priority",IF(N121&gt;=12,"Active",IF(N121&gt;=8,"Nurture / research","Park"))))</f>
        <v/>
      </c>
      <c r="P121" s="9" t="n"/>
      <c r="Q121" s="9" t="n"/>
      <c r="R121" s="9" t="n"/>
      <c r="S121" s="9" t="n"/>
      <c r="T121" s="9">
        <f>IF(OR(S121="",P121="Won",P121="Lost",P121="Disqualified"),"",IF(TODAY()&gt;S121,TODAY()-S121,0))</f>
        <v/>
      </c>
      <c r="U121" s="9" t="n"/>
      <c r="V121" s="9" t="n"/>
      <c r="W121" s="9" t="n"/>
      <c r="X121" s="9">
        <f>IF(C121="","",IF(COUNTIF($C$4:$C$403,C121)&gt;1,"DUPLICATE",""))</f>
        <v/>
      </c>
      <c r="Y121" s="9" t="n"/>
    </row>
    <row r="122">
      <c r="A122" s="9" t="n"/>
      <c r="B122" s="9" t="n"/>
      <c r="C122" s="9" t="n"/>
      <c r="D122" s="9" t="n"/>
      <c r="E122" s="9" t="n"/>
      <c r="F122" s="9" t="n"/>
      <c r="G122" s="9" t="n"/>
      <c r="H122" s="9" t="n"/>
      <c r="I122" s="9" t="n"/>
      <c r="J122" s="9" t="n"/>
      <c r="K122" s="9" t="n"/>
      <c r="L122" s="9" t="n"/>
      <c r="M122" s="9" t="n"/>
      <c r="N122" s="8">
        <f>IF(COUNT(I122:M122)=5,SUM(I122:M122),"")</f>
        <v/>
      </c>
      <c r="O122" s="9">
        <f>IF(N122="","",IF(N122&gt;=16,"Priority",IF(N122&gt;=12,"Active",IF(N122&gt;=8,"Nurture / research","Park"))))</f>
        <v/>
      </c>
      <c r="P122" s="9" t="n"/>
      <c r="Q122" s="9" t="n"/>
      <c r="R122" s="9" t="n"/>
      <c r="S122" s="9" t="n"/>
      <c r="T122" s="9">
        <f>IF(OR(S122="",P122="Won",P122="Lost",P122="Disqualified"),"",IF(TODAY()&gt;S122,TODAY()-S122,0))</f>
        <v/>
      </c>
      <c r="U122" s="9" t="n"/>
      <c r="V122" s="9" t="n"/>
      <c r="W122" s="9" t="n"/>
      <c r="X122" s="9">
        <f>IF(C122="","",IF(COUNTIF($C$4:$C$403,C122)&gt;1,"DUPLICATE",""))</f>
        <v/>
      </c>
      <c r="Y122" s="9" t="n"/>
    </row>
    <row r="123">
      <c r="A123" s="9" t="n"/>
      <c r="B123" s="9" t="n"/>
      <c r="C123" s="9" t="n"/>
      <c r="D123" s="9" t="n"/>
      <c r="E123" s="9" t="n"/>
      <c r="F123" s="9" t="n"/>
      <c r="G123" s="9" t="n"/>
      <c r="H123" s="9" t="n"/>
      <c r="I123" s="9" t="n"/>
      <c r="J123" s="9" t="n"/>
      <c r="K123" s="9" t="n"/>
      <c r="L123" s="9" t="n"/>
      <c r="M123" s="9" t="n"/>
      <c r="N123" s="8">
        <f>IF(COUNT(I123:M123)=5,SUM(I123:M123),"")</f>
        <v/>
      </c>
      <c r="O123" s="9">
        <f>IF(N123="","",IF(N123&gt;=16,"Priority",IF(N123&gt;=12,"Active",IF(N123&gt;=8,"Nurture / research","Park"))))</f>
        <v/>
      </c>
      <c r="P123" s="9" t="n"/>
      <c r="Q123" s="9" t="n"/>
      <c r="R123" s="9" t="n"/>
      <c r="S123" s="9" t="n"/>
      <c r="T123" s="9">
        <f>IF(OR(S123="",P123="Won",P123="Lost",P123="Disqualified"),"",IF(TODAY()&gt;S123,TODAY()-S123,0))</f>
        <v/>
      </c>
      <c r="U123" s="9" t="n"/>
      <c r="V123" s="9" t="n"/>
      <c r="W123" s="9" t="n"/>
      <c r="X123" s="9">
        <f>IF(C123="","",IF(COUNTIF($C$4:$C$403,C123)&gt;1,"DUPLICATE",""))</f>
        <v/>
      </c>
      <c r="Y123" s="9" t="n"/>
    </row>
    <row r="124">
      <c r="A124" s="9" t="n"/>
      <c r="B124" s="9" t="n"/>
      <c r="C124" s="9" t="n"/>
      <c r="D124" s="9" t="n"/>
      <c r="E124" s="9" t="n"/>
      <c r="F124" s="9" t="n"/>
      <c r="G124" s="9" t="n"/>
      <c r="H124" s="9" t="n"/>
      <c r="I124" s="9" t="n"/>
      <c r="J124" s="9" t="n"/>
      <c r="K124" s="9" t="n"/>
      <c r="L124" s="9" t="n"/>
      <c r="M124" s="9" t="n"/>
      <c r="N124" s="8">
        <f>IF(COUNT(I124:M124)=5,SUM(I124:M124),"")</f>
        <v/>
      </c>
      <c r="O124" s="9">
        <f>IF(N124="","",IF(N124&gt;=16,"Priority",IF(N124&gt;=12,"Active",IF(N124&gt;=8,"Nurture / research","Park"))))</f>
        <v/>
      </c>
      <c r="P124" s="9" t="n"/>
      <c r="Q124" s="9" t="n"/>
      <c r="R124" s="9" t="n"/>
      <c r="S124" s="9" t="n"/>
      <c r="T124" s="9">
        <f>IF(OR(S124="",P124="Won",P124="Lost",P124="Disqualified"),"",IF(TODAY()&gt;S124,TODAY()-S124,0))</f>
        <v/>
      </c>
      <c r="U124" s="9" t="n"/>
      <c r="V124" s="9" t="n"/>
      <c r="W124" s="9" t="n"/>
      <c r="X124" s="9">
        <f>IF(C124="","",IF(COUNTIF($C$4:$C$403,C124)&gt;1,"DUPLICATE",""))</f>
        <v/>
      </c>
      <c r="Y124" s="9" t="n"/>
    </row>
    <row r="125">
      <c r="A125" s="9" t="n"/>
      <c r="B125" s="9" t="n"/>
      <c r="C125" s="9" t="n"/>
      <c r="D125" s="9" t="n"/>
      <c r="E125" s="9" t="n"/>
      <c r="F125" s="9" t="n"/>
      <c r="G125" s="9" t="n"/>
      <c r="H125" s="9" t="n"/>
      <c r="I125" s="9" t="n"/>
      <c r="J125" s="9" t="n"/>
      <c r="K125" s="9" t="n"/>
      <c r="L125" s="9" t="n"/>
      <c r="M125" s="9" t="n"/>
      <c r="N125" s="8">
        <f>IF(COUNT(I125:M125)=5,SUM(I125:M125),"")</f>
        <v/>
      </c>
      <c r="O125" s="9">
        <f>IF(N125="","",IF(N125&gt;=16,"Priority",IF(N125&gt;=12,"Active",IF(N125&gt;=8,"Nurture / research","Park"))))</f>
        <v/>
      </c>
      <c r="P125" s="9" t="n"/>
      <c r="Q125" s="9" t="n"/>
      <c r="R125" s="9" t="n"/>
      <c r="S125" s="9" t="n"/>
      <c r="T125" s="9">
        <f>IF(OR(S125="",P125="Won",P125="Lost",P125="Disqualified"),"",IF(TODAY()&gt;S125,TODAY()-S125,0))</f>
        <v/>
      </c>
      <c r="U125" s="9" t="n"/>
      <c r="V125" s="9" t="n"/>
      <c r="W125" s="9" t="n"/>
      <c r="X125" s="9">
        <f>IF(C125="","",IF(COUNTIF($C$4:$C$403,C125)&gt;1,"DUPLICATE",""))</f>
        <v/>
      </c>
      <c r="Y125" s="9" t="n"/>
    </row>
    <row r="126">
      <c r="A126" s="9" t="n"/>
      <c r="B126" s="9" t="n"/>
      <c r="C126" s="9" t="n"/>
      <c r="D126" s="9" t="n"/>
      <c r="E126" s="9" t="n"/>
      <c r="F126" s="9" t="n"/>
      <c r="G126" s="9" t="n"/>
      <c r="H126" s="9" t="n"/>
      <c r="I126" s="9" t="n"/>
      <c r="J126" s="9" t="n"/>
      <c r="K126" s="9" t="n"/>
      <c r="L126" s="9" t="n"/>
      <c r="M126" s="9" t="n"/>
      <c r="N126" s="8">
        <f>IF(COUNT(I126:M126)=5,SUM(I126:M126),"")</f>
        <v/>
      </c>
      <c r="O126" s="9">
        <f>IF(N126="","",IF(N126&gt;=16,"Priority",IF(N126&gt;=12,"Active",IF(N126&gt;=8,"Nurture / research","Park"))))</f>
        <v/>
      </c>
      <c r="P126" s="9" t="n"/>
      <c r="Q126" s="9" t="n"/>
      <c r="R126" s="9" t="n"/>
      <c r="S126" s="9" t="n"/>
      <c r="T126" s="9">
        <f>IF(OR(S126="",P126="Won",P126="Lost",P126="Disqualified"),"",IF(TODAY()&gt;S126,TODAY()-S126,0))</f>
        <v/>
      </c>
      <c r="U126" s="9" t="n"/>
      <c r="V126" s="9" t="n"/>
      <c r="W126" s="9" t="n"/>
      <c r="X126" s="9">
        <f>IF(C126="","",IF(COUNTIF($C$4:$C$403,C126)&gt;1,"DUPLICATE",""))</f>
        <v/>
      </c>
      <c r="Y126" s="9" t="n"/>
    </row>
    <row r="127">
      <c r="A127" s="9" t="n"/>
      <c r="B127" s="9" t="n"/>
      <c r="C127" s="9" t="n"/>
      <c r="D127" s="9" t="n"/>
      <c r="E127" s="9" t="n"/>
      <c r="F127" s="9" t="n"/>
      <c r="G127" s="9" t="n"/>
      <c r="H127" s="9" t="n"/>
      <c r="I127" s="9" t="n"/>
      <c r="J127" s="9" t="n"/>
      <c r="K127" s="9" t="n"/>
      <c r="L127" s="9" t="n"/>
      <c r="M127" s="9" t="n"/>
      <c r="N127" s="8">
        <f>IF(COUNT(I127:M127)=5,SUM(I127:M127),"")</f>
        <v/>
      </c>
      <c r="O127" s="9">
        <f>IF(N127="","",IF(N127&gt;=16,"Priority",IF(N127&gt;=12,"Active",IF(N127&gt;=8,"Nurture / research","Park"))))</f>
        <v/>
      </c>
      <c r="P127" s="9" t="n"/>
      <c r="Q127" s="9" t="n"/>
      <c r="R127" s="9" t="n"/>
      <c r="S127" s="9" t="n"/>
      <c r="T127" s="9">
        <f>IF(OR(S127="",P127="Won",P127="Lost",P127="Disqualified"),"",IF(TODAY()&gt;S127,TODAY()-S127,0))</f>
        <v/>
      </c>
      <c r="U127" s="9" t="n"/>
      <c r="V127" s="9" t="n"/>
      <c r="W127" s="9" t="n"/>
      <c r="X127" s="9">
        <f>IF(C127="","",IF(COUNTIF($C$4:$C$403,C127)&gt;1,"DUPLICATE",""))</f>
        <v/>
      </c>
      <c r="Y127" s="9" t="n"/>
    </row>
    <row r="128">
      <c r="A128" s="9" t="n"/>
      <c r="B128" s="9" t="n"/>
      <c r="C128" s="9" t="n"/>
      <c r="D128" s="9" t="n"/>
      <c r="E128" s="9" t="n"/>
      <c r="F128" s="9" t="n"/>
      <c r="G128" s="9" t="n"/>
      <c r="H128" s="9" t="n"/>
      <c r="I128" s="9" t="n"/>
      <c r="J128" s="9" t="n"/>
      <c r="K128" s="9" t="n"/>
      <c r="L128" s="9" t="n"/>
      <c r="M128" s="9" t="n"/>
      <c r="N128" s="8">
        <f>IF(COUNT(I128:M128)=5,SUM(I128:M128),"")</f>
        <v/>
      </c>
      <c r="O128" s="9">
        <f>IF(N128="","",IF(N128&gt;=16,"Priority",IF(N128&gt;=12,"Active",IF(N128&gt;=8,"Nurture / research","Park"))))</f>
        <v/>
      </c>
      <c r="P128" s="9" t="n"/>
      <c r="Q128" s="9" t="n"/>
      <c r="R128" s="9" t="n"/>
      <c r="S128" s="9" t="n"/>
      <c r="T128" s="9">
        <f>IF(OR(S128="",P128="Won",P128="Lost",P128="Disqualified"),"",IF(TODAY()&gt;S128,TODAY()-S128,0))</f>
        <v/>
      </c>
      <c r="U128" s="9" t="n"/>
      <c r="V128" s="9" t="n"/>
      <c r="W128" s="9" t="n"/>
      <c r="X128" s="9">
        <f>IF(C128="","",IF(COUNTIF($C$4:$C$403,C128)&gt;1,"DUPLICATE",""))</f>
        <v/>
      </c>
      <c r="Y128" s="9" t="n"/>
    </row>
    <row r="129">
      <c r="A129" s="9" t="n"/>
      <c r="B129" s="9" t="n"/>
      <c r="C129" s="9" t="n"/>
      <c r="D129" s="9" t="n"/>
      <c r="E129" s="9" t="n"/>
      <c r="F129" s="9" t="n"/>
      <c r="G129" s="9" t="n"/>
      <c r="H129" s="9" t="n"/>
      <c r="I129" s="9" t="n"/>
      <c r="J129" s="9" t="n"/>
      <c r="K129" s="9" t="n"/>
      <c r="L129" s="9" t="n"/>
      <c r="M129" s="9" t="n"/>
      <c r="N129" s="8">
        <f>IF(COUNT(I129:M129)=5,SUM(I129:M129),"")</f>
        <v/>
      </c>
      <c r="O129" s="9">
        <f>IF(N129="","",IF(N129&gt;=16,"Priority",IF(N129&gt;=12,"Active",IF(N129&gt;=8,"Nurture / research","Park"))))</f>
        <v/>
      </c>
      <c r="P129" s="9" t="n"/>
      <c r="Q129" s="9" t="n"/>
      <c r="R129" s="9" t="n"/>
      <c r="S129" s="9" t="n"/>
      <c r="T129" s="9">
        <f>IF(OR(S129="",P129="Won",P129="Lost",P129="Disqualified"),"",IF(TODAY()&gt;S129,TODAY()-S129,0))</f>
        <v/>
      </c>
      <c r="U129" s="9" t="n"/>
      <c r="V129" s="9" t="n"/>
      <c r="W129" s="9" t="n"/>
      <c r="X129" s="9">
        <f>IF(C129="","",IF(COUNTIF($C$4:$C$403,C129)&gt;1,"DUPLICATE",""))</f>
        <v/>
      </c>
      <c r="Y129" s="9" t="n"/>
    </row>
    <row r="130">
      <c r="A130" s="9" t="n"/>
      <c r="B130" s="9" t="n"/>
      <c r="C130" s="9" t="n"/>
      <c r="D130" s="9" t="n"/>
      <c r="E130" s="9" t="n"/>
      <c r="F130" s="9" t="n"/>
      <c r="G130" s="9" t="n"/>
      <c r="H130" s="9" t="n"/>
      <c r="I130" s="9" t="n"/>
      <c r="J130" s="9" t="n"/>
      <c r="K130" s="9" t="n"/>
      <c r="L130" s="9" t="n"/>
      <c r="M130" s="9" t="n"/>
      <c r="N130" s="8">
        <f>IF(COUNT(I130:M130)=5,SUM(I130:M130),"")</f>
        <v/>
      </c>
      <c r="O130" s="9">
        <f>IF(N130="","",IF(N130&gt;=16,"Priority",IF(N130&gt;=12,"Active",IF(N130&gt;=8,"Nurture / research","Park"))))</f>
        <v/>
      </c>
      <c r="P130" s="9" t="n"/>
      <c r="Q130" s="9" t="n"/>
      <c r="R130" s="9" t="n"/>
      <c r="S130" s="9" t="n"/>
      <c r="T130" s="9">
        <f>IF(OR(S130="",P130="Won",P130="Lost",P130="Disqualified"),"",IF(TODAY()&gt;S130,TODAY()-S130,0))</f>
        <v/>
      </c>
      <c r="U130" s="9" t="n"/>
      <c r="V130" s="9" t="n"/>
      <c r="W130" s="9" t="n"/>
      <c r="X130" s="9">
        <f>IF(C130="","",IF(COUNTIF($C$4:$C$403,C130)&gt;1,"DUPLICATE",""))</f>
        <v/>
      </c>
      <c r="Y130" s="9" t="n"/>
    </row>
    <row r="131">
      <c r="A131" s="9" t="n"/>
      <c r="B131" s="9" t="n"/>
      <c r="C131" s="9" t="n"/>
      <c r="D131" s="9" t="n"/>
      <c r="E131" s="9" t="n"/>
      <c r="F131" s="9" t="n"/>
      <c r="G131" s="9" t="n"/>
      <c r="H131" s="9" t="n"/>
      <c r="I131" s="9" t="n"/>
      <c r="J131" s="9" t="n"/>
      <c r="K131" s="9" t="n"/>
      <c r="L131" s="9" t="n"/>
      <c r="M131" s="9" t="n"/>
      <c r="N131" s="8">
        <f>IF(COUNT(I131:M131)=5,SUM(I131:M131),"")</f>
        <v/>
      </c>
      <c r="O131" s="9">
        <f>IF(N131="","",IF(N131&gt;=16,"Priority",IF(N131&gt;=12,"Active",IF(N131&gt;=8,"Nurture / research","Park"))))</f>
        <v/>
      </c>
      <c r="P131" s="9" t="n"/>
      <c r="Q131" s="9" t="n"/>
      <c r="R131" s="9" t="n"/>
      <c r="S131" s="9" t="n"/>
      <c r="T131" s="9">
        <f>IF(OR(S131="",P131="Won",P131="Lost",P131="Disqualified"),"",IF(TODAY()&gt;S131,TODAY()-S131,0))</f>
        <v/>
      </c>
      <c r="U131" s="9" t="n"/>
      <c r="V131" s="9" t="n"/>
      <c r="W131" s="9" t="n"/>
      <c r="X131" s="9">
        <f>IF(C131="","",IF(COUNTIF($C$4:$C$403,C131)&gt;1,"DUPLICATE",""))</f>
        <v/>
      </c>
      <c r="Y131" s="9" t="n"/>
    </row>
    <row r="132">
      <c r="A132" s="9" t="n"/>
      <c r="B132" s="9" t="n"/>
      <c r="C132" s="9" t="n"/>
      <c r="D132" s="9" t="n"/>
      <c r="E132" s="9" t="n"/>
      <c r="F132" s="9" t="n"/>
      <c r="G132" s="9" t="n"/>
      <c r="H132" s="9" t="n"/>
      <c r="I132" s="9" t="n"/>
      <c r="J132" s="9" t="n"/>
      <c r="K132" s="9" t="n"/>
      <c r="L132" s="9" t="n"/>
      <c r="M132" s="9" t="n"/>
      <c r="N132" s="8">
        <f>IF(COUNT(I132:M132)=5,SUM(I132:M132),"")</f>
        <v/>
      </c>
      <c r="O132" s="9">
        <f>IF(N132="","",IF(N132&gt;=16,"Priority",IF(N132&gt;=12,"Active",IF(N132&gt;=8,"Nurture / research","Park"))))</f>
        <v/>
      </c>
      <c r="P132" s="9" t="n"/>
      <c r="Q132" s="9" t="n"/>
      <c r="R132" s="9" t="n"/>
      <c r="S132" s="9" t="n"/>
      <c r="T132" s="9">
        <f>IF(OR(S132="",P132="Won",P132="Lost",P132="Disqualified"),"",IF(TODAY()&gt;S132,TODAY()-S132,0))</f>
        <v/>
      </c>
      <c r="U132" s="9" t="n"/>
      <c r="V132" s="9" t="n"/>
      <c r="W132" s="9" t="n"/>
      <c r="X132" s="9">
        <f>IF(C132="","",IF(COUNTIF($C$4:$C$403,C132)&gt;1,"DUPLICATE",""))</f>
        <v/>
      </c>
      <c r="Y132" s="9" t="n"/>
    </row>
    <row r="133">
      <c r="A133" s="9" t="n"/>
      <c r="B133" s="9" t="n"/>
      <c r="C133" s="9" t="n"/>
      <c r="D133" s="9" t="n"/>
      <c r="E133" s="9" t="n"/>
      <c r="F133" s="9" t="n"/>
      <c r="G133" s="9" t="n"/>
      <c r="H133" s="9" t="n"/>
      <c r="I133" s="9" t="n"/>
      <c r="J133" s="9" t="n"/>
      <c r="K133" s="9" t="n"/>
      <c r="L133" s="9" t="n"/>
      <c r="M133" s="9" t="n"/>
      <c r="N133" s="8">
        <f>IF(COUNT(I133:M133)=5,SUM(I133:M133),"")</f>
        <v/>
      </c>
      <c r="O133" s="9">
        <f>IF(N133="","",IF(N133&gt;=16,"Priority",IF(N133&gt;=12,"Active",IF(N133&gt;=8,"Nurture / research","Park"))))</f>
        <v/>
      </c>
      <c r="P133" s="9" t="n"/>
      <c r="Q133" s="9" t="n"/>
      <c r="R133" s="9" t="n"/>
      <c r="S133" s="9" t="n"/>
      <c r="T133" s="9">
        <f>IF(OR(S133="",P133="Won",P133="Lost",P133="Disqualified"),"",IF(TODAY()&gt;S133,TODAY()-S133,0))</f>
        <v/>
      </c>
      <c r="U133" s="9" t="n"/>
      <c r="V133" s="9" t="n"/>
      <c r="W133" s="9" t="n"/>
      <c r="X133" s="9">
        <f>IF(C133="","",IF(COUNTIF($C$4:$C$403,C133)&gt;1,"DUPLICATE",""))</f>
        <v/>
      </c>
      <c r="Y133" s="9" t="n"/>
    </row>
    <row r="134">
      <c r="A134" s="9" t="n"/>
      <c r="B134" s="9" t="n"/>
      <c r="C134" s="9" t="n"/>
      <c r="D134" s="9" t="n"/>
      <c r="E134" s="9" t="n"/>
      <c r="F134" s="9" t="n"/>
      <c r="G134" s="9" t="n"/>
      <c r="H134" s="9" t="n"/>
      <c r="I134" s="9" t="n"/>
      <c r="J134" s="9" t="n"/>
      <c r="K134" s="9" t="n"/>
      <c r="L134" s="9" t="n"/>
      <c r="M134" s="9" t="n"/>
      <c r="N134" s="8">
        <f>IF(COUNT(I134:M134)=5,SUM(I134:M134),"")</f>
        <v/>
      </c>
      <c r="O134" s="9">
        <f>IF(N134="","",IF(N134&gt;=16,"Priority",IF(N134&gt;=12,"Active",IF(N134&gt;=8,"Nurture / research","Park"))))</f>
        <v/>
      </c>
      <c r="P134" s="9" t="n"/>
      <c r="Q134" s="9" t="n"/>
      <c r="R134" s="9" t="n"/>
      <c r="S134" s="9" t="n"/>
      <c r="T134" s="9">
        <f>IF(OR(S134="",P134="Won",P134="Lost",P134="Disqualified"),"",IF(TODAY()&gt;S134,TODAY()-S134,0))</f>
        <v/>
      </c>
      <c r="U134" s="9" t="n"/>
      <c r="V134" s="9" t="n"/>
      <c r="W134" s="9" t="n"/>
      <c r="X134" s="9">
        <f>IF(C134="","",IF(COUNTIF($C$4:$C$403,C134)&gt;1,"DUPLICATE",""))</f>
        <v/>
      </c>
      <c r="Y134" s="9" t="n"/>
    </row>
    <row r="135">
      <c r="A135" s="9" t="n"/>
      <c r="B135" s="9" t="n"/>
      <c r="C135" s="9" t="n"/>
      <c r="D135" s="9" t="n"/>
      <c r="E135" s="9" t="n"/>
      <c r="F135" s="9" t="n"/>
      <c r="G135" s="9" t="n"/>
      <c r="H135" s="9" t="n"/>
      <c r="I135" s="9" t="n"/>
      <c r="J135" s="9" t="n"/>
      <c r="K135" s="9" t="n"/>
      <c r="L135" s="9" t="n"/>
      <c r="M135" s="9" t="n"/>
      <c r="N135" s="8">
        <f>IF(COUNT(I135:M135)=5,SUM(I135:M135),"")</f>
        <v/>
      </c>
      <c r="O135" s="9">
        <f>IF(N135="","",IF(N135&gt;=16,"Priority",IF(N135&gt;=12,"Active",IF(N135&gt;=8,"Nurture / research","Park"))))</f>
        <v/>
      </c>
      <c r="P135" s="9" t="n"/>
      <c r="Q135" s="9" t="n"/>
      <c r="R135" s="9" t="n"/>
      <c r="S135" s="9" t="n"/>
      <c r="T135" s="9">
        <f>IF(OR(S135="",P135="Won",P135="Lost",P135="Disqualified"),"",IF(TODAY()&gt;S135,TODAY()-S135,0))</f>
        <v/>
      </c>
      <c r="U135" s="9" t="n"/>
      <c r="V135" s="9" t="n"/>
      <c r="W135" s="9" t="n"/>
      <c r="X135" s="9">
        <f>IF(C135="","",IF(COUNTIF($C$4:$C$403,C135)&gt;1,"DUPLICATE",""))</f>
        <v/>
      </c>
      <c r="Y135" s="9" t="n"/>
    </row>
    <row r="136">
      <c r="A136" s="9" t="n"/>
      <c r="B136" s="9" t="n"/>
      <c r="C136" s="9" t="n"/>
      <c r="D136" s="9" t="n"/>
      <c r="E136" s="9" t="n"/>
      <c r="F136" s="9" t="n"/>
      <c r="G136" s="9" t="n"/>
      <c r="H136" s="9" t="n"/>
      <c r="I136" s="9" t="n"/>
      <c r="J136" s="9" t="n"/>
      <c r="K136" s="9" t="n"/>
      <c r="L136" s="9" t="n"/>
      <c r="M136" s="9" t="n"/>
      <c r="N136" s="8">
        <f>IF(COUNT(I136:M136)=5,SUM(I136:M136),"")</f>
        <v/>
      </c>
      <c r="O136" s="9">
        <f>IF(N136="","",IF(N136&gt;=16,"Priority",IF(N136&gt;=12,"Active",IF(N136&gt;=8,"Nurture / research","Park"))))</f>
        <v/>
      </c>
      <c r="P136" s="9" t="n"/>
      <c r="Q136" s="9" t="n"/>
      <c r="R136" s="9" t="n"/>
      <c r="S136" s="9" t="n"/>
      <c r="T136" s="9">
        <f>IF(OR(S136="",P136="Won",P136="Lost",P136="Disqualified"),"",IF(TODAY()&gt;S136,TODAY()-S136,0))</f>
        <v/>
      </c>
      <c r="U136" s="9" t="n"/>
      <c r="V136" s="9" t="n"/>
      <c r="W136" s="9" t="n"/>
      <c r="X136" s="9">
        <f>IF(C136="","",IF(COUNTIF($C$4:$C$403,C136)&gt;1,"DUPLICATE",""))</f>
        <v/>
      </c>
      <c r="Y136" s="9" t="n"/>
    </row>
    <row r="137">
      <c r="A137" s="9" t="n"/>
      <c r="B137" s="9" t="n"/>
      <c r="C137" s="9" t="n"/>
      <c r="D137" s="9" t="n"/>
      <c r="E137" s="9" t="n"/>
      <c r="F137" s="9" t="n"/>
      <c r="G137" s="9" t="n"/>
      <c r="H137" s="9" t="n"/>
      <c r="I137" s="9" t="n"/>
      <c r="J137" s="9" t="n"/>
      <c r="K137" s="9" t="n"/>
      <c r="L137" s="9" t="n"/>
      <c r="M137" s="9" t="n"/>
      <c r="N137" s="8">
        <f>IF(COUNT(I137:M137)=5,SUM(I137:M137),"")</f>
        <v/>
      </c>
      <c r="O137" s="9">
        <f>IF(N137="","",IF(N137&gt;=16,"Priority",IF(N137&gt;=12,"Active",IF(N137&gt;=8,"Nurture / research","Park"))))</f>
        <v/>
      </c>
      <c r="P137" s="9" t="n"/>
      <c r="Q137" s="9" t="n"/>
      <c r="R137" s="9" t="n"/>
      <c r="S137" s="9" t="n"/>
      <c r="T137" s="9">
        <f>IF(OR(S137="",P137="Won",P137="Lost",P137="Disqualified"),"",IF(TODAY()&gt;S137,TODAY()-S137,0))</f>
        <v/>
      </c>
      <c r="U137" s="9" t="n"/>
      <c r="V137" s="9" t="n"/>
      <c r="W137" s="9" t="n"/>
      <c r="X137" s="9">
        <f>IF(C137="","",IF(COUNTIF($C$4:$C$403,C137)&gt;1,"DUPLICATE",""))</f>
        <v/>
      </c>
      <c r="Y137" s="9" t="n"/>
    </row>
    <row r="138">
      <c r="A138" s="9" t="n"/>
      <c r="B138" s="9" t="n"/>
      <c r="C138" s="9" t="n"/>
      <c r="D138" s="9" t="n"/>
      <c r="E138" s="9" t="n"/>
      <c r="F138" s="9" t="n"/>
      <c r="G138" s="9" t="n"/>
      <c r="H138" s="9" t="n"/>
      <c r="I138" s="9" t="n"/>
      <c r="J138" s="9" t="n"/>
      <c r="K138" s="9" t="n"/>
      <c r="L138" s="9" t="n"/>
      <c r="M138" s="9" t="n"/>
      <c r="N138" s="8">
        <f>IF(COUNT(I138:M138)=5,SUM(I138:M138),"")</f>
        <v/>
      </c>
      <c r="O138" s="9">
        <f>IF(N138="","",IF(N138&gt;=16,"Priority",IF(N138&gt;=12,"Active",IF(N138&gt;=8,"Nurture / research","Park"))))</f>
        <v/>
      </c>
      <c r="P138" s="9" t="n"/>
      <c r="Q138" s="9" t="n"/>
      <c r="R138" s="9" t="n"/>
      <c r="S138" s="9" t="n"/>
      <c r="T138" s="9">
        <f>IF(OR(S138="",P138="Won",P138="Lost",P138="Disqualified"),"",IF(TODAY()&gt;S138,TODAY()-S138,0))</f>
        <v/>
      </c>
      <c r="U138" s="9" t="n"/>
      <c r="V138" s="9" t="n"/>
      <c r="W138" s="9" t="n"/>
      <c r="X138" s="9">
        <f>IF(C138="","",IF(COUNTIF($C$4:$C$403,C138)&gt;1,"DUPLICATE",""))</f>
        <v/>
      </c>
      <c r="Y138" s="9" t="n"/>
    </row>
    <row r="139">
      <c r="A139" s="9" t="n"/>
      <c r="B139" s="9" t="n"/>
      <c r="C139" s="9" t="n"/>
      <c r="D139" s="9" t="n"/>
      <c r="E139" s="9" t="n"/>
      <c r="F139" s="9" t="n"/>
      <c r="G139" s="9" t="n"/>
      <c r="H139" s="9" t="n"/>
      <c r="I139" s="9" t="n"/>
      <c r="J139" s="9" t="n"/>
      <c r="K139" s="9" t="n"/>
      <c r="L139" s="9" t="n"/>
      <c r="M139" s="9" t="n"/>
      <c r="N139" s="8">
        <f>IF(COUNT(I139:M139)=5,SUM(I139:M139),"")</f>
        <v/>
      </c>
      <c r="O139" s="9">
        <f>IF(N139="","",IF(N139&gt;=16,"Priority",IF(N139&gt;=12,"Active",IF(N139&gt;=8,"Nurture / research","Park"))))</f>
        <v/>
      </c>
      <c r="P139" s="9" t="n"/>
      <c r="Q139" s="9" t="n"/>
      <c r="R139" s="9" t="n"/>
      <c r="S139" s="9" t="n"/>
      <c r="T139" s="9">
        <f>IF(OR(S139="",P139="Won",P139="Lost",P139="Disqualified"),"",IF(TODAY()&gt;S139,TODAY()-S139,0))</f>
        <v/>
      </c>
      <c r="U139" s="9" t="n"/>
      <c r="V139" s="9" t="n"/>
      <c r="W139" s="9" t="n"/>
      <c r="X139" s="9">
        <f>IF(C139="","",IF(COUNTIF($C$4:$C$403,C139)&gt;1,"DUPLICATE",""))</f>
        <v/>
      </c>
      <c r="Y139" s="9" t="n"/>
    </row>
    <row r="140">
      <c r="A140" s="9" t="n"/>
      <c r="B140" s="9" t="n"/>
      <c r="C140" s="9" t="n"/>
      <c r="D140" s="9" t="n"/>
      <c r="E140" s="9" t="n"/>
      <c r="F140" s="9" t="n"/>
      <c r="G140" s="9" t="n"/>
      <c r="H140" s="9" t="n"/>
      <c r="I140" s="9" t="n"/>
      <c r="J140" s="9" t="n"/>
      <c r="K140" s="9" t="n"/>
      <c r="L140" s="9" t="n"/>
      <c r="M140" s="9" t="n"/>
      <c r="N140" s="8">
        <f>IF(COUNT(I140:M140)=5,SUM(I140:M140),"")</f>
        <v/>
      </c>
      <c r="O140" s="9">
        <f>IF(N140="","",IF(N140&gt;=16,"Priority",IF(N140&gt;=12,"Active",IF(N140&gt;=8,"Nurture / research","Park"))))</f>
        <v/>
      </c>
      <c r="P140" s="9" t="n"/>
      <c r="Q140" s="9" t="n"/>
      <c r="R140" s="9" t="n"/>
      <c r="S140" s="9" t="n"/>
      <c r="T140" s="9">
        <f>IF(OR(S140="",P140="Won",P140="Lost",P140="Disqualified"),"",IF(TODAY()&gt;S140,TODAY()-S140,0))</f>
        <v/>
      </c>
      <c r="U140" s="9" t="n"/>
      <c r="V140" s="9" t="n"/>
      <c r="W140" s="9" t="n"/>
      <c r="X140" s="9">
        <f>IF(C140="","",IF(COUNTIF($C$4:$C$403,C140)&gt;1,"DUPLICATE",""))</f>
        <v/>
      </c>
      <c r="Y140" s="9" t="n"/>
    </row>
    <row r="141">
      <c r="A141" s="9" t="n"/>
      <c r="B141" s="9" t="n"/>
      <c r="C141" s="9" t="n"/>
      <c r="D141" s="9" t="n"/>
      <c r="E141" s="9" t="n"/>
      <c r="F141" s="9" t="n"/>
      <c r="G141" s="9" t="n"/>
      <c r="H141" s="9" t="n"/>
      <c r="I141" s="9" t="n"/>
      <c r="J141" s="9" t="n"/>
      <c r="K141" s="9" t="n"/>
      <c r="L141" s="9" t="n"/>
      <c r="M141" s="9" t="n"/>
      <c r="N141" s="8">
        <f>IF(COUNT(I141:M141)=5,SUM(I141:M141),"")</f>
        <v/>
      </c>
      <c r="O141" s="9">
        <f>IF(N141="","",IF(N141&gt;=16,"Priority",IF(N141&gt;=12,"Active",IF(N141&gt;=8,"Nurture / research","Park"))))</f>
        <v/>
      </c>
      <c r="P141" s="9" t="n"/>
      <c r="Q141" s="9" t="n"/>
      <c r="R141" s="9" t="n"/>
      <c r="S141" s="9" t="n"/>
      <c r="T141" s="9">
        <f>IF(OR(S141="",P141="Won",P141="Lost",P141="Disqualified"),"",IF(TODAY()&gt;S141,TODAY()-S141,0))</f>
        <v/>
      </c>
      <c r="U141" s="9" t="n"/>
      <c r="V141" s="9" t="n"/>
      <c r="W141" s="9" t="n"/>
      <c r="X141" s="9">
        <f>IF(C141="","",IF(COUNTIF($C$4:$C$403,C141)&gt;1,"DUPLICATE",""))</f>
        <v/>
      </c>
      <c r="Y141" s="9" t="n"/>
    </row>
    <row r="142">
      <c r="A142" s="9" t="n"/>
      <c r="B142" s="9" t="n"/>
      <c r="C142" s="9" t="n"/>
      <c r="D142" s="9" t="n"/>
      <c r="E142" s="9" t="n"/>
      <c r="F142" s="9" t="n"/>
      <c r="G142" s="9" t="n"/>
      <c r="H142" s="9" t="n"/>
      <c r="I142" s="9" t="n"/>
      <c r="J142" s="9" t="n"/>
      <c r="K142" s="9" t="n"/>
      <c r="L142" s="9" t="n"/>
      <c r="M142" s="9" t="n"/>
      <c r="N142" s="8">
        <f>IF(COUNT(I142:M142)=5,SUM(I142:M142),"")</f>
        <v/>
      </c>
      <c r="O142" s="9">
        <f>IF(N142="","",IF(N142&gt;=16,"Priority",IF(N142&gt;=12,"Active",IF(N142&gt;=8,"Nurture / research","Park"))))</f>
        <v/>
      </c>
      <c r="P142" s="9" t="n"/>
      <c r="Q142" s="9" t="n"/>
      <c r="R142" s="9" t="n"/>
      <c r="S142" s="9" t="n"/>
      <c r="T142" s="9">
        <f>IF(OR(S142="",P142="Won",P142="Lost",P142="Disqualified"),"",IF(TODAY()&gt;S142,TODAY()-S142,0))</f>
        <v/>
      </c>
      <c r="U142" s="9" t="n"/>
      <c r="V142" s="9" t="n"/>
      <c r="W142" s="9" t="n"/>
      <c r="X142" s="9">
        <f>IF(C142="","",IF(COUNTIF($C$4:$C$403,C142)&gt;1,"DUPLICATE",""))</f>
        <v/>
      </c>
      <c r="Y142" s="9" t="n"/>
    </row>
    <row r="143">
      <c r="A143" s="9" t="n"/>
      <c r="B143" s="9" t="n"/>
      <c r="C143" s="9" t="n"/>
      <c r="D143" s="9" t="n"/>
      <c r="E143" s="9" t="n"/>
      <c r="F143" s="9" t="n"/>
      <c r="G143" s="9" t="n"/>
      <c r="H143" s="9" t="n"/>
      <c r="I143" s="9" t="n"/>
      <c r="J143" s="9" t="n"/>
      <c r="K143" s="9" t="n"/>
      <c r="L143" s="9" t="n"/>
      <c r="M143" s="9" t="n"/>
      <c r="N143" s="8">
        <f>IF(COUNT(I143:M143)=5,SUM(I143:M143),"")</f>
        <v/>
      </c>
      <c r="O143" s="9">
        <f>IF(N143="","",IF(N143&gt;=16,"Priority",IF(N143&gt;=12,"Active",IF(N143&gt;=8,"Nurture / research","Park"))))</f>
        <v/>
      </c>
      <c r="P143" s="9" t="n"/>
      <c r="Q143" s="9" t="n"/>
      <c r="R143" s="9" t="n"/>
      <c r="S143" s="9" t="n"/>
      <c r="T143" s="9">
        <f>IF(OR(S143="",P143="Won",P143="Lost",P143="Disqualified"),"",IF(TODAY()&gt;S143,TODAY()-S143,0))</f>
        <v/>
      </c>
      <c r="U143" s="9" t="n"/>
      <c r="V143" s="9" t="n"/>
      <c r="W143" s="9" t="n"/>
      <c r="X143" s="9">
        <f>IF(C143="","",IF(COUNTIF($C$4:$C$403,C143)&gt;1,"DUPLICATE",""))</f>
        <v/>
      </c>
      <c r="Y143" s="9" t="n"/>
    </row>
    <row r="144">
      <c r="A144" s="9" t="n"/>
      <c r="B144" s="9" t="n"/>
      <c r="C144" s="9" t="n"/>
      <c r="D144" s="9" t="n"/>
      <c r="E144" s="9" t="n"/>
      <c r="F144" s="9" t="n"/>
      <c r="G144" s="9" t="n"/>
      <c r="H144" s="9" t="n"/>
      <c r="I144" s="9" t="n"/>
      <c r="J144" s="9" t="n"/>
      <c r="K144" s="9" t="n"/>
      <c r="L144" s="9" t="n"/>
      <c r="M144" s="9" t="n"/>
      <c r="N144" s="8">
        <f>IF(COUNT(I144:M144)=5,SUM(I144:M144),"")</f>
        <v/>
      </c>
      <c r="O144" s="9">
        <f>IF(N144="","",IF(N144&gt;=16,"Priority",IF(N144&gt;=12,"Active",IF(N144&gt;=8,"Nurture / research","Park"))))</f>
        <v/>
      </c>
      <c r="P144" s="9" t="n"/>
      <c r="Q144" s="9" t="n"/>
      <c r="R144" s="9" t="n"/>
      <c r="S144" s="9" t="n"/>
      <c r="T144" s="9">
        <f>IF(OR(S144="",P144="Won",P144="Lost",P144="Disqualified"),"",IF(TODAY()&gt;S144,TODAY()-S144,0))</f>
        <v/>
      </c>
      <c r="U144" s="9" t="n"/>
      <c r="V144" s="9" t="n"/>
      <c r="W144" s="9" t="n"/>
      <c r="X144" s="9">
        <f>IF(C144="","",IF(COUNTIF($C$4:$C$403,C144)&gt;1,"DUPLICATE",""))</f>
        <v/>
      </c>
      <c r="Y144" s="9" t="n"/>
    </row>
    <row r="145">
      <c r="A145" s="9" t="n"/>
      <c r="B145" s="9" t="n"/>
      <c r="C145" s="9" t="n"/>
      <c r="D145" s="9" t="n"/>
      <c r="E145" s="9" t="n"/>
      <c r="F145" s="9" t="n"/>
      <c r="G145" s="9" t="n"/>
      <c r="H145" s="9" t="n"/>
      <c r="I145" s="9" t="n"/>
      <c r="J145" s="9" t="n"/>
      <c r="K145" s="9" t="n"/>
      <c r="L145" s="9" t="n"/>
      <c r="M145" s="9" t="n"/>
      <c r="N145" s="8">
        <f>IF(COUNT(I145:M145)=5,SUM(I145:M145),"")</f>
        <v/>
      </c>
      <c r="O145" s="9">
        <f>IF(N145="","",IF(N145&gt;=16,"Priority",IF(N145&gt;=12,"Active",IF(N145&gt;=8,"Nurture / research","Park"))))</f>
        <v/>
      </c>
      <c r="P145" s="9" t="n"/>
      <c r="Q145" s="9" t="n"/>
      <c r="R145" s="9" t="n"/>
      <c r="S145" s="9" t="n"/>
      <c r="T145" s="9">
        <f>IF(OR(S145="",P145="Won",P145="Lost",P145="Disqualified"),"",IF(TODAY()&gt;S145,TODAY()-S145,0))</f>
        <v/>
      </c>
      <c r="U145" s="9" t="n"/>
      <c r="V145" s="9" t="n"/>
      <c r="W145" s="9" t="n"/>
      <c r="X145" s="9">
        <f>IF(C145="","",IF(COUNTIF($C$4:$C$403,C145)&gt;1,"DUPLICATE",""))</f>
        <v/>
      </c>
      <c r="Y145" s="9" t="n"/>
    </row>
    <row r="146">
      <c r="A146" s="9" t="n"/>
      <c r="B146" s="9" t="n"/>
      <c r="C146" s="9" t="n"/>
      <c r="D146" s="9" t="n"/>
      <c r="E146" s="9" t="n"/>
      <c r="F146" s="9" t="n"/>
      <c r="G146" s="9" t="n"/>
      <c r="H146" s="9" t="n"/>
      <c r="I146" s="9" t="n"/>
      <c r="J146" s="9" t="n"/>
      <c r="K146" s="9" t="n"/>
      <c r="L146" s="9" t="n"/>
      <c r="M146" s="9" t="n"/>
      <c r="N146" s="8">
        <f>IF(COUNT(I146:M146)=5,SUM(I146:M146),"")</f>
        <v/>
      </c>
      <c r="O146" s="9">
        <f>IF(N146="","",IF(N146&gt;=16,"Priority",IF(N146&gt;=12,"Active",IF(N146&gt;=8,"Nurture / research","Park"))))</f>
        <v/>
      </c>
      <c r="P146" s="9" t="n"/>
      <c r="Q146" s="9" t="n"/>
      <c r="R146" s="9" t="n"/>
      <c r="S146" s="9" t="n"/>
      <c r="T146" s="9">
        <f>IF(OR(S146="",P146="Won",P146="Lost",P146="Disqualified"),"",IF(TODAY()&gt;S146,TODAY()-S146,0))</f>
        <v/>
      </c>
      <c r="U146" s="9" t="n"/>
      <c r="V146" s="9" t="n"/>
      <c r="W146" s="9" t="n"/>
      <c r="X146" s="9">
        <f>IF(C146="","",IF(COUNTIF($C$4:$C$403,C146)&gt;1,"DUPLICATE",""))</f>
        <v/>
      </c>
      <c r="Y146" s="9" t="n"/>
    </row>
    <row r="147">
      <c r="A147" s="9" t="n"/>
      <c r="B147" s="9" t="n"/>
      <c r="C147" s="9" t="n"/>
      <c r="D147" s="9" t="n"/>
      <c r="E147" s="9" t="n"/>
      <c r="F147" s="9" t="n"/>
      <c r="G147" s="9" t="n"/>
      <c r="H147" s="9" t="n"/>
      <c r="I147" s="9" t="n"/>
      <c r="J147" s="9" t="n"/>
      <c r="K147" s="9" t="n"/>
      <c r="L147" s="9" t="n"/>
      <c r="M147" s="9" t="n"/>
      <c r="N147" s="8">
        <f>IF(COUNT(I147:M147)=5,SUM(I147:M147),"")</f>
        <v/>
      </c>
      <c r="O147" s="9">
        <f>IF(N147="","",IF(N147&gt;=16,"Priority",IF(N147&gt;=12,"Active",IF(N147&gt;=8,"Nurture / research","Park"))))</f>
        <v/>
      </c>
      <c r="P147" s="9" t="n"/>
      <c r="Q147" s="9" t="n"/>
      <c r="R147" s="9" t="n"/>
      <c r="S147" s="9" t="n"/>
      <c r="T147" s="9">
        <f>IF(OR(S147="",P147="Won",P147="Lost",P147="Disqualified"),"",IF(TODAY()&gt;S147,TODAY()-S147,0))</f>
        <v/>
      </c>
      <c r="U147" s="9" t="n"/>
      <c r="V147" s="9" t="n"/>
      <c r="W147" s="9" t="n"/>
      <c r="X147" s="9">
        <f>IF(C147="","",IF(COUNTIF($C$4:$C$403,C147)&gt;1,"DUPLICATE",""))</f>
        <v/>
      </c>
      <c r="Y147" s="9" t="n"/>
    </row>
    <row r="148">
      <c r="A148" s="9" t="n"/>
      <c r="B148" s="9" t="n"/>
      <c r="C148" s="9" t="n"/>
      <c r="D148" s="9" t="n"/>
      <c r="E148" s="9" t="n"/>
      <c r="F148" s="9" t="n"/>
      <c r="G148" s="9" t="n"/>
      <c r="H148" s="9" t="n"/>
      <c r="I148" s="9" t="n"/>
      <c r="J148" s="9" t="n"/>
      <c r="K148" s="9" t="n"/>
      <c r="L148" s="9" t="n"/>
      <c r="M148" s="9" t="n"/>
      <c r="N148" s="8">
        <f>IF(COUNT(I148:M148)=5,SUM(I148:M148),"")</f>
        <v/>
      </c>
      <c r="O148" s="9">
        <f>IF(N148="","",IF(N148&gt;=16,"Priority",IF(N148&gt;=12,"Active",IF(N148&gt;=8,"Nurture / research","Park"))))</f>
        <v/>
      </c>
      <c r="P148" s="9" t="n"/>
      <c r="Q148" s="9" t="n"/>
      <c r="R148" s="9" t="n"/>
      <c r="S148" s="9" t="n"/>
      <c r="T148" s="9">
        <f>IF(OR(S148="",P148="Won",P148="Lost",P148="Disqualified"),"",IF(TODAY()&gt;S148,TODAY()-S148,0))</f>
        <v/>
      </c>
      <c r="U148" s="9" t="n"/>
      <c r="V148" s="9" t="n"/>
      <c r="W148" s="9" t="n"/>
      <c r="X148" s="9">
        <f>IF(C148="","",IF(COUNTIF($C$4:$C$403,C148)&gt;1,"DUPLICATE",""))</f>
        <v/>
      </c>
      <c r="Y148" s="9" t="n"/>
    </row>
    <row r="149">
      <c r="A149" s="9" t="n"/>
      <c r="B149" s="9" t="n"/>
      <c r="C149" s="9" t="n"/>
      <c r="D149" s="9" t="n"/>
      <c r="E149" s="9" t="n"/>
      <c r="F149" s="9" t="n"/>
      <c r="G149" s="9" t="n"/>
      <c r="H149" s="9" t="n"/>
      <c r="I149" s="9" t="n"/>
      <c r="J149" s="9" t="n"/>
      <c r="K149" s="9" t="n"/>
      <c r="L149" s="9" t="n"/>
      <c r="M149" s="9" t="n"/>
      <c r="N149" s="8">
        <f>IF(COUNT(I149:M149)=5,SUM(I149:M149),"")</f>
        <v/>
      </c>
      <c r="O149" s="9">
        <f>IF(N149="","",IF(N149&gt;=16,"Priority",IF(N149&gt;=12,"Active",IF(N149&gt;=8,"Nurture / research","Park"))))</f>
        <v/>
      </c>
      <c r="P149" s="9" t="n"/>
      <c r="Q149" s="9" t="n"/>
      <c r="R149" s="9" t="n"/>
      <c r="S149" s="9" t="n"/>
      <c r="T149" s="9">
        <f>IF(OR(S149="",P149="Won",P149="Lost",P149="Disqualified"),"",IF(TODAY()&gt;S149,TODAY()-S149,0))</f>
        <v/>
      </c>
      <c r="U149" s="9" t="n"/>
      <c r="V149" s="9" t="n"/>
      <c r="W149" s="9" t="n"/>
      <c r="X149" s="9">
        <f>IF(C149="","",IF(COUNTIF($C$4:$C$403,C149)&gt;1,"DUPLICATE",""))</f>
        <v/>
      </c>
      <c r="Y149" s="9" t="n"/>
    </row>
    <row r="150">
      <c r="A150" s="9" t="n"/>
      <c r="B150" s="9" t="n"/>
      <c r="C150" s="9" t="n"/>
      <c r="D150" s="9" t="n"/>
      <c r="E150" s="9" t="n"/>
      <c r="F150" s="9" t="n"/>
      <c r="G150" s="9" t="n"/>
      <c r="H150" s="9" t="n"/>
      <c r="I150" s="9" t="n"/>
      <c r="J150" s="9" t="n"/>
      <c r="K150" s="9" t="n"/>
      <c r="L150" s="9" t="n"/>
      <c r="M150" s="9" t="n"/>
      <c r="N150" s="8">
        <f>IF(COUNT(I150:M150)=5,SUM(I150:M150),"")</f>
        <v/>
      </c>
      <c r="O150" s="9">
        <f>IF(N150="","",IF(N150&gt;=16,"Priority",IF(N150&gt;=12,"Active",IF(N150&gt;=8,"Nurture / research","Park"))))</f>
        <v/>
      </c>
      <c r="P150" s="9" t="n"/>
      <c r="Q150" s="9" t="n"/>
      <c r="R150" s="9" t="n"/>
      <c r="S150" s="9" t="n"/>
      <c r="T150" s="9">
        <f>IF(OR(S150="",P150="Won",P150="Lost",P150="Disqualified"),"",IF(TODAY()&gt;S150,TODAY()-S150,0))</f>
        <v/>
      </c>
      <c r="U150" s="9" t="n"/>
      <c r="V150" s="9" t="n"/>
      <c r="W150" s="9" t="n"/>
      <c r="X150" s="9">
        <f>IF(C150="","",IF(COUNTIF($C$4:$C$403,C150)&gt;1,"DUPLICATE",""))</f>
        <v/>
      </c>
      <c r="Y150" s="9" t="n"/>
    </row>
    <row r="151">
      <c r="A151" s="9" t="n"/>
      <c r="B151" s="9" t="n"/>
      <c r="C151" s="9" t="n"/>
      <c r="D151" s="9" t="n"/>
      <c r="E151" s="9" t="n"/>
      <c r="F151" s="9" t="n"/>
      <c r="G151" s="9" t="n"/>
      <c r="H151" s="9" t="n"/>
      <c r="I151" s="9" t="n"/>
      <c r="J151" s="9" t="n"/>
      <c r="K151" s="9" t="n"/>
      <c r="L151" s="9" t="n"/>
      <c r="M151" s="9" t="n"/>
      <c r="N151" s="8">
        <f>IF(COUNT(I151:M151)=5,SUM(I151:M151),"")</f>
        <v/>
      </c>
      <c r="O151" s="9">
        <f>IF(N151="","",IF(N151&gt;=16,"Priority",IF(N151&gt;=12,"Active",IF(N151&gt;=8,"Nurture / research","Park"))))</f>
        <v/>
      </c>
      <c r="P151" s="9" t="n"/>
      <c r="Q151" s="9" t="n"/>
      <c r="R151" s="9" t="n"/>
      <c r="S151" s="9" t="n"/>
      <c r="T151" s="9">
        <f>IF(OR(S151="",P151="Won",P151="Lost",P151="Disqualified"),"",IF(TODAY()&gt;S151,TODAY()-S151,0))</f>
        <v/>
      </c>
      <c r="U151" s="9" t="n"/>
      <c r="V151" s="9" t="n"/>
      <c r="W151" s="9" t="n"/>
      <c r="X151" s="9">
        <f>IF(C151="","",IF(COUNTIF($C$4:$C$403,C151)&gt;1,"DUPLICATE",""))</f>
        <v/>
      </c>
      <c r="Y151" s="9" t="n"/>
    </row>
    <row r="152">
      <c r="A152" s="9" t="n"/>
      <c r="B152" s="9" t="n"/>
      <c r="C152" s="9" t="n"/>
      <c r="D152" s="9" t="n"/>
      <c r="E152" s="9" t="n"/>
      <c r="F152" s="9" t="n"/>
      <c r="G152" s="9" t="n"/>
      <c r="H152" s="9" t="n"/>
      <c r="I152" s="9" t="n"/>
      <c r="J152" s="9" t="n"/>
      <c r="K152" s="9" t="n"/>
      <c r="L152" s="9" t="n"/>
      <c r="M152" s="9" t="n"/>
      <c r="N152" s="8">
        <f>IF(COUNT(I152:M152)=5,SUM(I152:M152),"")</f>
        <v/>
      </c>
      <c r="O152" s="9">
        <f>IF(N152="","",IF(N152&gt;=16,"Priority",IF(N152&gt;=12,"Active",IF(N152&gt;=8,"Nurture / research","Park"))))</f>
        <v/>
      </c>
      <c r="P152" s="9" t="n"/>
      <c r="Q152" s="9" t="n"/>
      <c r="R152" s="9" t="n"/>
      <c r="S152" s="9" t="n"/>
      <c r="T152" s="9">
        <f>IF(OR(S152="",P152="Won",P152="Lost",P152="Disqualified"),"",IF(TODAY()&gt;S152,TODAY()-S152,0))</f>
        <v/>
      </c>
      <c r="U152" s="9" t="n"/>
      <c r="V152" s="9" t="n"/>
      <c r="W152" s="9" t="n"/>
      <c r="X152" s="9">
        <f>IF(C152="","",IF(COUNTIF($C$4:$C$403,C152)&gt;1,"DUPLICATE",""))</f>
        <v/>
      </c>
      <c r="Y152" s="9" t="n"/>
    </row>
    <row r="153">
      <c r="A153" s="9" t="n"/>
      <c r="B153" s="9" t="n"/>
      <c r="C153" s="9" t="n"/>
      <c r="D153" s="9" t="n"/>
      <c r="E153" s="9" t="n"/>
      <c r="F153" s="9" t="n"/>
      <c r="G153" s="9" t="n"/>
      <c r="H153" s="9" t="n"/>
      <c r="I153" s="9" t="n"/>
      <c r="J153" s="9" t="n"/>
      <c r="K153" s="9" t="n"/>
      <c r="L153" s="9" t="n"/>
      <c r="M153" s="9" t="n"/>
      <c r="N153" s="8">
        <f>IF(COUNT(I153:M153)=5,SUM(I153:M153),"")</f>
        <v/>
      </c>
      <c r="O153" s="9">
        <f>IF(N153="","",IF(N153&gt;=16,"Priority",IF(N153&gt;=12,"Active",IF(N153&gt;=8,"Nurture / research","Park"))))</f>
        <v/>
      </c>
      <c r="P153" s="9" t="n"/>
      <c r="Q153" s="9" t="n"/>
      <c r="R153" s="9" t="n"/>
      <c r="S153" s="9" t="n"/>
      <c r="T153" s="9">
        <f>IF(OR(S153="",P153="Won",P153="Lost",P153="Disqualified"),"",IF(TODAY()&gt;S153,TODAY()-S153,0))</f>
        <v/>
      </c>
      <c r="U153" s="9" t="n"/>
      <c r="V153" s="9" t="n"/>
      <c r="W153" s="9" t="n"/>
      <c r="X153" s="9">
        <f>IF(C153="","",IF(COUNTIF($C$4:$C$403,C153)&gt;1,"DUPLICATE",""))</f>
        <v/>
      </c>
      <c r="Y153" s="9" t="n"/>
    </row>
    <row r="154">
      <c r="A154" s="9" t="n"/>
      <c r="B154" s="9" t="n"/>
      <c r="C154" s="9" t="n"/>
      <c r="D154" s="9" t="n"/>
      <c r="E154" s="9" t="n"/>
      <c r="F154" s="9" t="n"/>
      <c r="G154" s="9" t="n"/>
      <c r="H154" s="9" t="n"/>
      <c r="I154" s="9" t="n"/>
      <c r="J154" s="9" t="n"/>
      <c r="K154" s="9" t="n"/>
      <c r="L154" s="9" t="n"/>
      <c r="M154" s="9" t="n"/>
      <c r="N154" s="8">
        <f>IF(COUNT(I154:M154)=5,SUM(I154:M154),"")</f>
        <v/>
      </c>
      <c r="O154" s="9">
        <f>IF(N154="","",IF(N154&gt;=16,"Priority",IF(N154&gt;=12,"Active",IF(N154&gt;=8,"Nurture / research","Park"))))</f>
        <v/>
      </c>
      <c r="P154" s="9" t="n"/>
      <c r="Q154" s="9" t="n"/>
      <c r="R154" s="9" t="n"/>
      <c r="S154" s="9" t="n"/>
      <c r="T154" s="9">
        <f>IF(OR(S154="",P154="Won",P154="Lost",P154="Disqualified"),"",IF(TODAY()&gt;S154,TODAY()-S154,0))</f>
        <v/>
      </c>
      <c r="U154" s="9" t="n"/>
      <c r="V154" s="9" t="n"/>
      <c r="W154" s="9" t="n"/>
      <c r="X154" s="9">
        <f>IF(C154="","",IF(COUNTIF($C$4:$C$403,C154)&gt;1,"DUPLICATE",""))</f>
        <v/>
      </c>
      <c r="Y154" s="9" t="n"/>
    </row>
    <row r="155">
      <c r="A155" s="9" t="n"/>
      <c r="B155" s="9" t="n"/>
      <c r="C155" s="9" t="n"/>
      <c r="D155" s="9" t="n"/>
      <c r="E155" s="9" t="n"/>
      <c r="F155" s="9" t="n"/>
      <c r="G155" s="9" t="n"/>
      <c r="H155" s="9" t="n"/>
      <c r="I155" s="9" t="n"/>
      <c r="J155" s="9" t="n"/>
      <c r="K155" s="9" t="n"/>
      <c r="L155" s="9" t="n"/>
      <c r="M155" s="9" t="n"/>
      <c r="N155" s="8">
        <f>IF(COUNT(I155:M155)=5,SUM(I155:M155),"")</f>
        <v/>
      </c>
      <c r="O155" s="9">
        <f>IF(N155="","",IF(N155&gt;=16,"Priority",IF(N155&gt;=12,"Active",IF(N155&gt;=8,"Nurture / research","Park"))))</f>
        <v/>
      </c>
      <c r="P155" s="9" t="n"/>
      <c r="Q155" s="9" t="n"/>
      <c r="R155" s="9" t="n"/>
      <c r="S155" s="9" t="n"/>
      <c r="T155" s="9">
        <f>IF(OR(S155="",P155="Won",P155="Lost",P155="Disqualified"),"",IF(TODAY()&gt;S155,TODAY()-S155,0))</f>
        <v/>
      </c>
      <c r="U155" s="9" t="n"/>
      <c r="V155" s="9" t="n"/>
      <c r="W155" s="9" t="n"/>
      <c r="X155" s="9">
        <f>IF(C155="","",IF(COUNTIF($C$4:$C$403,C155)&gt;1,"DUPLICATE",""))</f>
        <v/>
      </c>
      <c r="Y155" s="9" t="n"/>
    </row>
    <row r="156">
      <c r="A156" s="9" t="n"/>
      <c r="B156" s="9" t="n"/>
      <c r="C156" s="9" t="n"/>
      <c r="D156" s="9" t="n"/>
      <c r="E156" s="9" t="n"/>
      <c r="F156" s="9" t="n"/>
      <c r="G156" s="9" t="n"/>
      <c r="H156" s="9" t="n"/>
      <c r="I156" s="9" t="n"/>
      <c r="J156" s="9" t="n"/>
      <c r="K156" s="9" t="n"/>
      <c r="L156" s="9" t="n"/>
      <c r="M156" s="9" t="n"/>
      <c r="N156" s="8">
        <f>IF(COUNT(I156:M156)=5,SUM(I156:M156),"")</f>
        <v/>
      </c>
      <c r="O156" s="9">
        <f>IF(N156="","",IF(N156&gt;=16,"Priority",IF(N156&gt;=12,"Active",IF(N156&gt;=8,"Nurture / research","Park"))))</f>
        <v/>
      </c>
      <c r="P156" s="9" t="n"/>
      <c r="Q156" s="9" t="n"/>
      <c r="R156" s="9" t="n"/>
      <c r="S156" s="9" t="n"/>
      <c r="T156" s="9">
        <f>IF(OR(S156="",P156="Won",P156="Lost",P156="Disqualified"),"",IF(TODAY()&gt;S156,TODAY()-S156,0))</f>
        <v/>
      </c>
      <c r="U156" s="9" t="n"/>
      <c r="V156" s="9" t="n"/>
      <c r="W156" s="9" t="n"/>
      <c r="X156" s="9">
        <f>IF(C156="","",IF(COUNTIF($C$4:$C$403,C156)&gt;1,"DUPLICATE",""))</f>
        <v/>
      </c>
      <c r="Y156" s="9" t="n"/>
    </row>
    <row r="157">
      <c r="A157" s="9" t="n"/>
      <c r="B157" s="9" t="n"/>
      <c r="C157" s="9" t="n"/>
      <c r="D157" s="9" t="n"/>
      <c r="E157" s="9" t="n"/>
      <c r="F157" s="9" t="n"/>
      <c r="G157" s="9" t="n"/>
      <c r="H157" s="9" t="n"/>
      <c r="I157" s="9" t="n"/>
      <c r="J157" s="9" t="n"/>
      <c r="K157" s="9" t="n"/>
      <c r="L157" s="9" t="n"/>
      <c r="M157" s="9" t="n"/>
      <c r="N157" s="8">
        <f>IF(COUNT(I157:M157)=5,SUM(I157:M157),"")</f>
        <v/>
      </c>
      <c r="O157" s="9">
        <f>IF(N157="","",IF(N157&gt;=16,"Priority",IF(N157&gt;=12,"Active",IF(N157&gt;=8,"Nurture / research","Park"))))</f>
        <v/>
      </c>
      <c r="P157" s="9" t="n"/>
      <c r="Q157" s="9" t="n"/>
      <c r="R157" s="9" t="n"/>
      <c r="S157" s="9" t="n"/>
      <c r="T157" s="9">
        <f>IF(OR(S157="",P157="Won",P157="Lost",P157="Disqualified"),"",IF(TODAY()&gt;S157,TODAY()-S157,0))</f>
        <v/>
      </c>
      <c r="U157" s="9" t="n"/>
      <c r="V157" s="9" t="n"/>
      <c r="W157" s="9" t="n"/>
      <c r="X157" s="9">
        <f>IF(C157="","",IF(COUNTIF($C$4:$C$403,C157)&gt;1,"DUPLICATE",""))</f>
        <v/>
      </c>
      <c r="Y157" s="9" t="n"/>
    </row>
    <row r="158">
      <c r="A158" s="9" t="n"/>
      <c r="B158" s="9" t="n"/>
      <c r="C158" s="9" t="n"/>
      <c r="D158" s="9" t="n"/>
      <c r="E158" s="9" t="n"/>
      <c r="F158" s="9" t="n"/>
      <c r="G158" s="9" t="n"/>
      <c r="H158" s="9" t="n"/>
      <c r="I158" s="9" t="n"/>
      <c r="J158" s="9" t="n"/>
      <c r="K158" s="9" t="n"/>
      <c r="L158" s="9" t="n"/>
      <c r="M158" s="9" t="n"/>
      <c r="N158" s="8">
        <f>IF(COUNT(I158:M158)=5,SUM(I158:M158),"")</f>
        <v/>
      </c>
      <c r="O158" s="9">
        <f>IF(N158="","",IF(N158&gt;=16,"Priority",IF(N158&gt;=12,"Active",IF(N158&gt;=8,"Nurture / research","Park"))))</f>
        <v/>
      </c>
      <c r="P158" s="9" t="n"/>
      <c r="Q158" s="9" t="n"/>
      <c r="R158" s="9" t="n"/>
      <c r="S158" s="9" t="n"/>
      <c r="T158" s="9">
        <f>IF(OR(S158="",P158="Won",P158="Lost",P158="Disqualified"),"",IF(TODAY()&gt;S158,TODAY()-S158,0))</f>
        <v/>
      </c>
      <c r="U158" s="9" t="n"/>
      <c r="V158" s="9" t="n"/>
      <c r="W158" s="9" t="n"/>
      <c r="X158" s="9">
        <f>IF(C158="","",IF(COUNTIF($C$4:$C$403,C158)&gt;1,"DUPLICATE",""))</f>
        <v/>
      </c>
      <c r="Y158" s="9" t="n"/>
    </row>
    <row r="159">
      <c r="A159" s="9" t="n"/>
      <c r="B159" s="9" t="n"/>
      <c r="C159" s="9" t="n"/>
      <c r="D159" s="9" t="n"/>
      <c r="E159" s="9" t="n"/>
      <c r="F159" s="9" t="n"/>
      <c r="G159" s="9" t="n"/>
      <c r="H159" s="9" t="n"/>
      <c r="I159" s="9" t="n"/>
      <c r="J159" s="9" t="n"/>
      <c r="K159" s="9" t="n"/>
      <c r="L159" s="9" t="n"/>
      <c r="M159" s="9" t="n"/>
      <c r="N159" s="8">
        <f>IF(COUNT(I159:M159)=5,SUM(I159:M159),"")</f>
        <v/>
      </c>
      <c r="O159" s="9">
        <f>IF(N159="","",IF(N159&gt;=16,"Priority",IF(N159&gt;=12,"Active",IF(N159&gt;=8,"Nurture / research","Park"))))</f>
        <v/>
      </c>
      <c r="P159" s="9" t="n"/>
      <c r="Q159" s="9" t="n"/>
      <c r="R159" s="9" t="n"/>
      <c r="S159" s="9" t="n"/>
      <c r="T159" s="9">
        <f>IF(OR(S159="",P159="Won",P159="Lost",P159="Disqualified"),"",IF(TODAY()&gt;S159,TODAY()-S159,0))</f>
        <v/>
      </c>
      <c r="U159" s="9" t="n"/>
      <c r="V159" s="9" t="n"/>
      <c r="W159" s="9" t="n"/>
      <c r="X159" s="9">
        <f>IF(C159="","",IF(COUNTIF($C$4:$C$403,C159)&gt;1,"DUPLICATE",""))</f>
        <v/>
      </c>
      <c r="Y159" s="9" t="n"/>
    </row>
    <row r="160">
      <c r="A160" s="9" t="n"/>
      <c r="B160" s="9" t="n"/>
      <c r="C160" s="9" t="n"/>
      <c r="D160" s="9" t="n"/>
      <c r="E160" s="9" t="n"/>
      <c r="F160" s="9" t="n"/>
      <c r="G160" s="9" t="n"/>
      <c r="H160" s="9" t="n"/>
      <c r="I160" s="9" t="n"/>
      <c r="J160" s="9" t="n"/>
      <c r="K160" s="9" t="n"/>
      <c r="L160" s="9" t="n"/>
      <c r="M160" s="9" t="n"/>
      <c r="N160" s="8">
        <f>IF(COUNT(I160:M160)=5,SUM(I160:M160),"")</f>
        <v/>
      </c>
      <c r="O160" s="9">
        <f>IF(N160="","",IF(N160&gt;=16,"Priority",IF(N160&gt;=12,"Active",IF(N160&gt;=8,"Nurture / research","Park"))))</f>
        <v/>
      </c>
      <c r="P160" s="9" t="n"/>
      <c r="Q160" s="9" t="n"/>
      <c r="R160" s="9" t="n"/>
      <c r="S160" s="9" t="n"/>
      <c r="T160" s="9">
        <f>IF(OR(S160="",P160="Won",P160="Lost",P160="Disqualified"),"",IF(TODAY()&gt;S160,TODAY()-S160,0))</f>
        <v/>
      </c>
      <c r="U160" s="9" t="n"/>
      <c r="V160" s="9" t="n"/>
      <c r="W160" s="9" t="n"/>
      <c r="X160" s="9">
        <f>IF(C160="","",IF(COUNTIF($C$4:$C$403,C160)&gt;1,"DUPLICATE",""))</f>
        <v/>
      </c>
      <c r="Y160" s="9" t="n"/>
    </row>
    <row r="161">
      <c r="A161" s="9" t="n"/>
      <c r="B161" s="9" t="n"/>
      <c r="C161" s="9" t="n"/>
      <c r="D161" s="9" t="n"/>
      <c r="E161" s="9" t="n"/>
      <c r="F161" s="9" t="n"/>
      <c r="G161" s="9" t="n"/>
      <c r="H161" s="9" t="n"/>
      <c r="I161" s="9" t="n"/>
      <c r="J161" s="9" t="n"/>
      <c r="K161" s="9" t="n"/>
      <c r="L161" s="9" t="n"/>
      <c r="M161" s="9" t="n"/>
      <c r="N161" s="8">
        <f>IF(COUNT(I161:M161)=5,SUM(I161:M161),"")</f>
        <v/>
      </c>
      <c r="O161" s="9">
        <f>IF(N161="","",IF(N161&gt;=16,"Priority",IF(N161&gt;=12,"Active",IF(N161&gt;=8,"Nurture / research","Park"))))</f>
        <v/>
      </c>
      <c r="P161" s="9" t="n"/>
      <c r="Q161" s="9" t="n"/>
      <c r="R161" s="9" t="n"/>
      <c r="S161" s="9" t="n"/>
      <c r="T161" s="9">
        <f>IF(OR(S161="",P161="Won",P161="Lost",P161="Disqualified"),"",IF(TODAY()&gt;S161,TODAY()-S161,0))</f>
        <v/>
      </c>
      <c r="U161" s="9" t="n"/>
      <c r="V161" s="9" t="n"/>
      <c r="W161" s="9" t="n"/>
      <c r="X161" s="9">
        <f>IF(C161="","",IF(COUNTIF($C$4:$C$403,C161)&gt;1,"DUPLICATE",""))</f>
        <v/>
      </c>
      <c r="Y161" s="9" t="n"/>
    </row>
    <row r="162">
      <c r="A162" s="9" t="n"/>
      <c r="B162" s="9" t="n"/>
      <c r="C162" s="9" t="n"/>
      <c r="D162" s="9" t="n"/>
      <c r="E162" s="9" t="n"/>
      <c r="F162" s="9" t="n"/>
      <c r="G162" s="9" t="n"/>
      <c r="H162" s="9" t="n"/>
      <c r="I162" s="9" t="n"/>
      <c r="J162" s="9" t="n"/>
      <c r="K162" s="9" t="n"/>
      <c r="L162" s="9" t="n"/>
      <c r="M162" s="9" t="n"/>
      <c r="N162" s="8">
        <f>IF(COUNT(I162:M162)=5,SUM(I162:M162),"")</f>
        <v/>
      </c>
      <c r="O162" s="9">
        <f>IF(N162="","",IF(N162&gt;=16,"Priority",IF(N162&gt;=12,"Active",IF(N162&gt;=8,"Nurture / research","Park"))))</f>
        <v/>
      </c>
      <c r="P162" s="9" t="n"/>
      <c r="Q162" s="9" t="n"/>
      <c r="R162" s="9" t="n"/>
      <c r="S162" s="9" t="n"/>
      <c r="T162" s="9">
        <f>IF(OR(S162="",P162="Won",P162="Lost",P162="Disqualified"),"",IF(TODAY()&gt;S162,TODAY()-S162,0))</f>
        <v/>
      </c>
      <c r="U162" s="9" t="n"/>
      <c r="V162" s="9" t="n"/>
      <c r="W162" s="9" t="n"/>
      <c r="X162" s="9">
        <f>IF(C162="","",IF(COUNTIF($C$4:$C$403,C162)&gt;1,"DUPLICATE",""))</f>
        <v/>
      </c>
      <c r="Y162" s="9" t="n"/>
    </row>
    <row r="163">
      <c r="A163" s="9" t="n"/>
      <c r="B163" s="9" t="n"/>
      <c r="C163" s="9" t="n"/>
      <c r="D163" s="9" t="n"/>
      <c r="E163" s="9" t="n"/>
      <c r="F163" s="9" t="n"/>
      <c r="G163" s="9" t="n"/>
      <c r="H163" s="9" t="n"/>
      <c r="I163" s="9" t="n"/>
      <c r="J163" s="9" t="n"/>
      <c r="K163" s="9" t="n"/>
      <c r="L163" s="9" t="n"/>
      <c r="M163" s="9" t="n"/>
      <c r="N163" s="8">
        <f>IF(COUNT(I163:M163)=5,SUM(I163:M163),"")</f>
        <v/>
      </c>
      <c r="O163" s="9">
        <f>IF(N163="","",IF(N163&gt;=16,"Priority",IF(N163&gt;=12,"Active",IF(N163&gt;=8,"Nurture / research","Park"))))</f>
        <v/>
      </c>
      <c r="P163" s="9" t="n"/>
      <c r="Q163" s="9" t="n"/>
      <c r="R163" s="9" t="n"/>
      <c r="S163" s="9" t="n"/>
      <c r="T163" s="9">
        <f>IF(OR(S163="",P163="Won",P163="Lost",P163="Disqualified"),"",IF(TODAY()&gt;S163,TODAY()-S163,0))</f>
        <v/>
      </c>
      <c r="U163" s="9" t="n"/>
      <c r="V163" s="9" t="n"/>
      <c r="W163" s="9" t="n"/>
      <c r="X163" s="9">
        <f>IF(C163="","",IF(COUNTIF($C$4:$C$403,C163)&gt;1,"DUPLICATE",""))</f>
        <v/>
      </c>
      <c r="Y163" s="9" t="n"/>
    </row>
    <row r="164">
      <c r="A164" s="9" t="n"/>
      <c r="B164" s="9" t="n"/>
      <c r="C164" s="9" t="n"/>
      <c r="D164" s="9" t="n"/>
      <c r="E164" s="9" t="n"/>
      <c r="F164" s="9" t="n"/>
      <c r="G164" s="9" t="n"/>
      <c r="H164" s="9" t="n"/>
      <c r="I164" s="9" t="n"/>
      <c r="J164" s="9" t="n"/>
      <c r="K164" s="9" t="n"/>
      <c r="L164" s="9" t="n"/>
      <c r="M164" s="9" t="n"/>
      <c r="N164" s="8">
        <f>IF(COUNT(I164:M164)=5,SUM(I164:M164),"")</f>
        <v/>
      </c>
      <c r="O164" s="9">
        <f>IF(N164="","",IF(N164&gt;=16,"Priority",IF(N164&gt;=12,"Active",IF(N164&gt;=8,"Nurture / research","Park"))))</f>
        <v/>
      </c>
      <c r="P164" s="9" t="n"/>
      <c r="Q164" s="9" t="n"/>
      <c r="R164" s="9" t="n"/>
      <c r="S164" s="9" t="n"/>
      <c r="T164" s="9">
        <f>IF(OR(S164="",P164="Won",P164="Lost",P164="Disqualified"),"",IF(TODAY()&gt;S164,TODAY()-S164,0))</f>
        <v/>
      </c>
      <c r="U164" s="9" t="n"/>
      <c r="V164" s="9" t="n"/>
      <c r="W164" s="9" t="n"/>
      <c r="X164" s="9">
        <f>IF(C164="","",IF(COUNTIF($C$4:$C$403,C164)&gt;1,"DUPLICATE",""))</f>
        <v/>
      </c>
      <c r="Y164" s="9" t="n"/>
    </row>
    <row r="165">
      <c r="A165" s="9" t="n"/>
      <c r="B165" s="9" t="n"/>
      <c r="C165" s="9" t="n"/>
      <c r="D165" s="9" t="n"/>
      <c r="E165" s="9" t="n"/>
      <c r="F165" s="9" t="n"/>
      <c r="G165" s="9" t="n"/>
      <c r="H165" s="9" t="n"/>
      <c r="I165" s="9" t="n"/>
      <c r="J165" s="9" t="n"/>
      <c r="K165" s="9" t="n"/>
      <c r="L165" s="9" t="n"/>
      <c r="M165" s="9" t="n"/>
      <c r="N165" s="8">
        <f>IF(COUNT(I165:M165)=5,SUM(I165:M165),"")</f>
        <v/>
      </c>
      <c r="O165" s="9">
        <f>IF(N165="","",IF(N165&gt;=16,"Priority",IF(N165&gt;=12,"Active",IF(N165&gt;=8,"Nurture / research","Park"))))</f>
        <v/>
      </c>
      <c r="P165" s="9" t="n"/>
      <c r="Q165" s="9" t="n"/>
      <c r="R165" s="9" t="n"/>
      <c r="S165" s="9" t="n"/>
      <c r="T165" s="9">
        <f>IF(OR(S165="",P165="Won",P165="Lost",P165="Disqualified"),"",IF(TODAY()&gt;S165,TODAY()-S165,0))</f>
        <v/>
      </c>
      <c r="U165" s="9" t="n"/>
      <c r="V165" s="9" t="n"/>
      <c r="W165" s="9" t="n"/>
      <c r="X165" s="9">
        <f>IF(C165="","",IF(COUNTIF($C$4:$C$403,C165)&gt;1,"DUPLICATE",""))</f>
        <v/>
      </c>
      <c r="Y165" s="9" t="n"/>
    </row>
    <row r="166">
      <c r="A166" s="9" t="n"/>
      <c r="B166" s="9" t="n"/>
      <c r="C166" s="9" t="n"/>
      <c r="D166" s="9" t="n"/>
      <c r="E166" s="9" t="n"/>
      <c r="F166" s="9" t="n"/>
      <c r="G166" s="9" t="n"/>
      <c r="H166" s="9" t="n"/>
      <c r="I166" s="9" t="n"/>
      <c r="J166" s="9" t="n"/>
      <c r="K166" s="9" t="n"/>
      <c r="L166" s="9" t="n"/>
      <c r="M166" s="9" t="n"/>
      <c r="N166" s="8">
        <f>IF(COUNT(I166:M166)=5,SUM(I166:M166),"")</f>
        <v/>
      </c>
      <c r="O166" s="9">
        <f>IF(N166="","",IF(N166&gt;=16,"Priority",IF(N166&gt;=12,"Active",IF(N166&gt;=8,"Nurture / research","Park"))))</f>
        <v/>
      </c>
      <c r="P166" s="9" t="n"/>
      <c r="Q166" s="9" t="n"/>
      <c r="R166" s="9" t="n"/>
      <c r="S166" s="9" t="n"/>
      <c r="T166" s="9">
        <f>IF(OR(S166="",P166="Won",P166="Lost",P166="Disqualified"),"",IF(TODAY()&gt;S166,TODAY()-S166,0))</f>
        <v/>
      </c>
      <c r="U166" s="9" t="n"/>
      <c r="V166" s="9" t="n"/>
      <c r="W166" s="9" t="n"/>
      <c r="X166" s="9">
        <f>IF(C166="","",IF(COUNTIF($C$4:$C$403,C166)&gt;1,"DUPLICATE",""))</f>
        <v/>
      </c>
      <c r="Y166" s="9" t="n"/>
    </row>
    <row r="167">
      <c r="A167" s="9" t="n"/>
      <c r="B167" s="9" t="n"/>
      <c r="C167" s="9" t="n"/>
      <c r="D167" s="9" t="n"/>
      <c r="E167" s="9" t="n"/>
      <c r="F167" s="9" t="n"/>
      <c r="G167" s="9" t="n"/>
      <c r="H167" s="9" t="n"/>
      <c r="I167" s="9" t="n"/>
      <c r="J167" s="9" t="n"/>
      <c r="K167" s="9" t="n"/>
      <c r="L167" s="9" t="n"/>
      <c r="M167" s="9" t="n"/>
      <c r="N167" s="8">
        <f>IF(COUNT(I167:M167)=5,SUM(I167:M167),"")</f>
        <v/>
      </c>
      <c r="O167" s="9">
        <f>IF(N167="","",IF(N167&gt;=16,"Priority",IF(N167&gt;=12,"Active",IF(N167&gt;=8,"Nurture / research","Park"))))</f>
        <v/>
      </c>
      <c r="P167" s="9" t="n"/>
      <c r="Q167" s="9" t="n"/>
      <c r="R167" s="9" t="n"/>
      <c r="S167" s="9" t="n"/>
      <c r="T167" s="9">
        <f>IF(OR(S167="",P167="Won",P167="Lost",P167="Disqualified"),"",IF(TODAY()&gt;S167,TODAY()-S167,0))</f>
        <v/>
      </c>
      <c r="U167" s="9" t="n"/>
      <c r="V167" s="9" t="n"/>
      <c r="W167" s="9" t="n"/>
      <c r="X167" s="9">
        <f>IF(C167="","",IF(COUNTIF($C$4:$C$403,C167)&gt;1,"DUPLICATE",""))</f>
        <v/>
      </c>
      <c r="Y167" s="9" t="n"/>
    </row>
    <row r="168">
      <c r="A168" s="9" t="n"/>
      <c r="B168" s="9" t="n"/>
      <c r="C168" s="9" t="n"/>
      <c r="D168" s="9" t="n"/>
      <c r="E168" s="9" t="n"/>
      <c r="F168" s="9" t="n"/>
      <c r="G168" s="9" t="n"/>
      <c r="H168" s="9" t="n"/>
      <c r="I168" s="9" t="n"/>
      <c r="J168" s="9" t="n"/>
      <c r="K168" s="9" t="n"/>
      <c r="L168" s="9" t="n"/>
      <c r="M168" s="9" t="n"/>
      <c r="N168" s="8">
        <f>IF(COUNT(I168:M168)=5,SUM(I168:M168),"")</f>
        <v/>
      </c>
      <c r="O168" s="9">
        <f>IF(N168="","",IF(N168&gt;=16,"Priority",IF(N168&gt;=12,"Active",IF(N168&gt;=8,"Nurture / research","Park"))))</f>
        <v/>
      </c>
      <c r="P168" s="9" t="n"/>
      <c r="Q168" s="9" t="n"/>
      <c r="R168" s="9" t="n"/>
      <c r="S168" s="9" t="n"/>
      <c r="T168" s="9">
        <f>IF(OR(S168="",P168="Won",P168="Lost",P168="Disqualified"),"",IF(TODAY()&gt;S168,TODAY()-S168,0))</f>
        <v/>
      </c>
      <c r="U168" s="9" t="n"/>
      <c r="V168" s="9" t="n"/>
      <c r="W168" s="9" t="n"/>
      <c r="X168" s="9">
        <f>IF(C168="","",IF(COUNTIF($C$4:$C$403,C168)&gt;1,"DUPLICATE",""))</f>
        <v/>
      </c>
      <c r="Y168" s="9" t="n"/>
    </row>
    <row r="169">
      <c r="A169" s="9" t="n"/>
      <c r="B169" s="9" t="n"/>
      <c r="C169" s="9" t="n"/>
      <c r="D169" s="9" t="n"/>
      <c r="E169" s="9" t="n"/>
      <c r="F169" s="9" t="n"/>
      <c r="G169" s="9" t="n"/>
      <c r="H169" s="9" t="n"/>
      <c r="I169" s="9" t="n"/>
      <c r="J169" s="9" t="n"/>
      <c r="K169" s="9" t="n"/>
      <c r="L169" s="9" t="n"/>
      <c r="M169" s="9" t="n"/>
      <c r="N169" s="8">
        <f>IF(COUNT(I169:M169)=5,SUM(I169:M169),"")</f>
        <v/>
      </c>
      <c r="O169" s="9">
        <f>IF(N169="","",IF(N169&gt;=16,"Priority",IF(N169&gt;=12,"Active",IF(N169&gt;=8,"Nurture / research","Park"))))</f>
        <v/>
      </c>
      <c r="P169" s="9" t="n"/>
      <c r="Q169" s="9" t="n"/>
      <c r="R169" s="9" t="n"/>
      <c r="S169" s="9" t="n"/>
      <c r="T169" s="9">
        <f>IF(OR(S169="",P169="Won",P169="Lost",P169="Disqualified"),"",IF(TODAY()&gt;S169,TODAY()-S169,0))</f>
        <v/>
      </c>
      <c r="U169" s="9" t="n"/>
      <c r="V169" s="9" t="n"/>
      <c r="W169" s="9" t="n"/>
      <c r="X169" s="9">
        <f>IF(C169="","",IF(COUNTIF($C$4:$C$403,C169)&gt;1,"DUPLICATE",""))</f>
        <v/>
      </c>
      <c r="Y169" s="9" t="n"/>
    </row>
    <row r="170">
      <c r="A170" s="9" t="n"/>
      <c r="B170" s="9" t="n"/>
      <c r="C170" s="9" t="n"/>
      <c r="D170" s="9" t="n"/>
      <c r="E170" s="9" t="n"/>
      <c r="F170" s="9" t="n"/>
      <c r="G170" s="9" t="n"/>
      <c r="H170" s="9" t="n"/>
      <c r="I170" s="9" t="n"/>
      <c r="J170" s="9" t="n"/>
      <c r="K170" s="9" t="n"/>
      <c r="L170" s="9" t="n"/>
      <c r="M170" s="9" t="n"/>
      <c r="N170" s="8">
        <f>IF(COUNT(I170:M170)=5,SUM(I170:M170),"")</f>
        <v/>
      </c>
      <c r="O170" s="9">
        <f>IF(N170="","",IF(N170&gt;=16,"Priority",IF(N170&gt;=12,"Active",IF(N170&gt;=8,"Nurture / research","Park"))))</f>
        <v/>
      </c>
      <c r="P170" s="9" t="n"/>
      <c r="Q170" s="9" t="n"/>
      <c r="R170" s="9" t="n"/>
      <c r="S170" s="9" t="n"/>
      <c r="T170" s="9">
        <f>IF(OR(S170="",P170="Won",P170="Lost",P170="Disqualified"),"",IF(TODAY()&gt;S170,TODAY()-S170,0))</f>
        <v/>
      </c>
      <c r="U170" s="9" t="n"/>
      <c r="V170" s="9" t="n"/>
      <c r="W170" s="9" t="n"/>
      <c r="X170" s="9">
        <f>IF(C170="","",IF(COUNTIF($C$4:$C$403,C170)&gt;1,"DUPLICATE",""))</f>
        <v/>
      </c>
      <c r="Y170" s="9" t="n"/>
    </row>
    <row r="171">
      <c r="A171" s="9" t="n"/>
      <c r="B171" s="9" t="n"/>
      <c r="C171" s="9" t="n"/>
      <c r="D171" s="9" t="n"/>
      <c r="E171" s="9" t="n"/>
      <c r="F171" s="9" t="n"/>
      <c r="G171" s="9" t="n"/>
      <c r="H171" s="9" t="n"/>
      <c r="I171" s="9" t="n"/>
      <c r="J171" s="9" t="n"/>
      <c r="K171" s="9" t="n"/>
      <c r="L171" s="9" t="n"/>
      <c r="M171" s="9" t="n"/>
      <c r="N171" s="8">
        <f>IF(COUNT(I171:M171)=5,SUM(I171:M171),"")</f>
        <v/>
      </c>
      <c r="O171" s="9">
        <f>IF(N171="","",IF(N171&gt;=16,"Priority",IF(N171&gt;=12,"Active",IF(N171&gt;=8,"Nurture / research","Park"))))</f>
        <v/>
      </c>
      <c r="P171" s="9" t="n"/>
      <c r="Q171" s="9" t="n"/>
      <c r="R171" s="9" t="n"/>
      <c r="S171" s="9" t="n"/>
      <c r="T171" s="9">
        <f>IF(OR(S171="",P171="Won",P171="Lost",P171="Disqualified"),"",IF(TODAY()&gt;S171,TODAY()-S171,0))</f>
        <v/>
      </c>
      <c r="U171" s="9" t="n"/>
      <c r="V171" s="9" t="n"/>
      <c r="W171" s="9" t="n"/>
      <c r="X171" s="9">
        <f>IF(C171="","",IF(COUNTIF($C$4:$C$403,C171)&gt;1,"DUPLICATE",""))</f>
        <v/>
      </c>
      <c r="Y171" s="9" t="n"/>
    </row>
    <row r="172">
      <c r="A172" s="9" t="n"/>
      <c r="B172" s="9" t="n"/>
      <c r="C172" s="9" t="n"/>
      <c r="D172" s="9" t="n"/>
      <c r="E172" s="9" t="n"/>
      <c r="F172" s="9" t="n"/>
      <c r="G172" s="9" t="n"/>
      <c r="H172" s="9" t="n"/>
      <c r="I172" s="9" t="n"/>
      <c r="J172" s="9" t="n"/>
      <c r="K172" s="9" t="n"/>
      <c r="L172" s="9" t="n"/>
      <c r="M172" s="9" t="n"/>
      <c r="N172" s="8">
        <f>IF(COUNT(I172:M172)=5,SUM(I172:M172),"")</f>
        <v/>
      </c>
      <c r="O172" s="9">
        <f>IF(N172="","",IF(N172&gt;=16,"Priority",IF(N172&gt;=12,"Active",IF(N172&gt;=8,"Nurture / research","Park"))))</f>
        <v/>
      </c>
      <c r="P172" s="9" t="n"/>
      <c r="Q172" s="9" t="n"/>
      <c r="R172" s="9" t="n"/>
      <c r="S172" s="9" t="n"/>
      <c r="T172" s="9">
        <f>IF(OR(S172="",P172="Won",P172="Lost",P172="Disqualified"),"",IF(TODAY()&gt;S172,TODAY()-S172,0))</f>
        <v/>
      </c>
      <c r="U172" s="9" t="n"/>
      <c r="V172" s="9" t="n"/>
      <c r="W172" s="9" t="n"/>
      <c r="X172" s="9">
        <f>IF(C172="","",IF(COUNTIF($C$4:$C$403,C172)&gt;1,"DUPLICATE",""))</f>
        <v/>
      </c>
      <c r="Y172" s="9" t="n"/>
    </row>
    <row r="173">
      <c r="A173" s="9" t="n"/>
      <c r="B173" s="9" t="n"/>
      <c r="C173" s="9" t="n"/>
      <c r="D173" s="9" t="n"/>
      <c r="E173" s="9" t="n"/>
      <c r="F173" s="9" t="n"/>
      <c r="G173" s="9" t="n"/>
      <c r="H173" s="9" t="n"/>
      <c r="I173" s="9" t="n"/>
      <c r="J173" s="9" t="n"/>
      <c r="K173" s="9" t="n"/>
      <c r="L173" s="9" t="n"/>
      <c r="M173" s="9" t="n"/>
      <c r="N173" s="8">
        <f>IF(COUNT(I173:M173)=5,SUM(I173:M173),"")</f>
        <v/>
      </c>
      <c r="O173" s="9">
        <f>IF(N173="","",IF(N173&gt;=16,"Priority",IF(N173&gt;=12,"Active",IF(N173&gt;=8,"Nurture / research","Park"))))</f>
        <v/>
      </c>
      <c r="P173" s="9" t="n"/>
      <c r="Q173" s="9" t="n"/>
      <c r="R173" s="9" t="n"/>
      <c r="S173" s="9" t="n"/>
      <c r="T173" s="9">
        <f>IF(OR(S173="",P173="Won",P173="Lost",P173="Disqualified"),"",IF(TODAY()&gt;S173,TODAY()-S173,0))</f>
        <v/>
      </c>
      <c r="U173" s="9" t="n"/>
      <c r="V173" s="9" t="n"/>
      <c r="W173" s="9" t="n"/>
      <c r="X173" s="9">
        <f>IF(C173="","",IF(COUNTIF($C$4:$C$403,C173)&gt;1,"DUPLICATE",""))</f>
        <v/>
      </c>
      <c r="Y173" s="9" t="n"/>
    </row>
    <row r="174">
      <c r="A174" s="9" t="n"/>
      <c r="B174" s="9" t="n"/>
      <c r="C174" s="9" t="n"/>
      <c r="D174" s="9" t="n"/>
      <c r="E174" s="9" t="n"/>
      <c r="F174" s="9" t="n"/>
      <c r="G174" s="9" t="n"/>
      <c r="H174" s="9" t="n"/>
      <c r="I174" s="9" t="n"/>
      <c r="J174" s="9" t="n"/>
      <c r="K174" s="9" t="n"/>
      <c r="L174" s="9" t="n"/>
      <c r="M174" s="9" t="n"/>
      <c r="N174" s="8">
        <f>IF(COUNT(I174:M174)=5,SUM(I174:M174),"")</f>
        <v/>
      </c>
      <c r="O174" s="9">
        <f>IF(N174="","",IF(N174&gt;=16,"Priority",IF(N174&gt;=12,"Active",IF(N174&gt;=8,"Nurture / research","Park"))))</f>
        <v/>
      </c>
      <c r="P174" s="9" t="n"/>
      <c r="Q174" s="9" t="n"/>
      <c r="R174" s="9" t="n"/>
      <c r="S174" s="9" t="n"/>
      <c r="T174" s="9">
        <f>IF(OR(S174="",P174="Won",P174="Lost",P174="Disqualified"),"",IF(TODAY()&gt;S174,TODAY()-S174,0))</f>
        <v/>
      </c>
      <c r="U174" s="9" t="n"/>
      <c r="V174" s="9" t="n"/>
      <c r="W174" s="9" t="n"/>
      <c r="X174" s="9">
        <f>IF(C174="","",IF(COUNTIF($C$4:$C$403,C174)&gt;1,"DUPLICATE",""))</f>
        <v/>
      </c>
      <c r="Y174" s="9" t="n"/>
    </row>
    <row r="175">
      <c r="A175" s="9" t="n"/>
      <c r="B175" s="9" t="n"/>
      <c r="C175" s="9" t="n"/>
      <c r="D175" s="9" t="n"/>
      <c r="E175" s="9" t="n"/>
      <c r="F175" s="9" t="n"/>
      <c r="G175" s="9" t="n"/>
      <c r="H175" s="9" t="n"/>
      <c r="I175" s="9" t="n"/>
      <c r="J175" s="9" t="n"/>
      <c r="K175" s="9" t="n"/>
      <c r="L175" s="9" t="n"/>
      <c r="M175" s="9" t="n"/>
      <c r="N175" s="8">
        <f>IF(COUNT(I175:M175)=5,SUM(I175:M175),"")</f>
        <v/>
      </c>
      <c r="O175" s="9">
        <f>IF(N175="","",IF(N175&gt;=16,"Priority",IF(N175&gt;=12,"Active",IF(N175&gt;=8,"Nurture / research","Park"))))</f>
        <v/>
      </c>
      <c r="P175" s="9" t="n"/>
      <c r="Q175" s="9" t="n"/>
      <c r="R175" s="9" t="n"/>
      <c r="S175" s="9" t="n"/>
      <c r="T175" s="9">
        <f>IF(OR(S175="",P175="Won",P175="Lost",P175="Disqualified"),"",IF(TODAY()&gt;S175,TODAY()-S175,0))</f>
        <v/>
      </c>
      <c r="U175" s="9" t="n"/>
      <c r="V175" s="9" t="n"/>
      <c r="W175" s="9" t="n"/>
      <c r="X175" s="9">
        <f>IF(C175="","",IF(COUNTIF($C$4:$C$403,C175)&gt;1,"DUPLICATE",""))</f>
        <v/>
      </c>
      <c r="Y175" s="9" t="n"/>
    </row>
    <row r="176">
      <c r="A176" s="9" t="n"/>
      <c r="B176" s="9" t="n"/>
      <c r="C176" s="9" t="n"/>
      <c r="D176" s="9" t="n"/>
      <c r="E176" s="9" t="n"/>
      <c r="F176" s="9" t="n"/>
      <c r="G176" s="9" t="n"/>
      <c r="H176" s="9" t="n"/>
      <c r="I176" s="9" t="n"/>
      <c r="J176" s="9" t="n"/>
      <c r="K176" s="9" t="n"/>
      <c r="L176" s="9" t="n"/>
      <c r="M176" s="9" t="n"/>
      <c r="N176" s="8">
        <f>IF(COUNT(I176:M176)=5,SUM(I176:M176),"")</f>
        <v/>
      </c>
      <c r="O176" s="9">
        <f>IF(N176="","",IF(N176&gt;=16,"Priority",IF(N176&gt;=12,"Active",IF(N176&gt;=8,"Nurture / research","Park"))))</f>
        <v/>
      </c>
      <c r="P176" s="9" t="n"/>
      <c r="Q176" s="9" t="n"/>
      <c r="R176" s="9" t="n"/>
      <c r="S176" s="9" t="n"/>
      <c r="T176" s="9">
        <f>IF(OR(S176="",P176="Won",P176="Lost",P176="Disqualified"),"",IF(TODAY()&gt;S176,TODAY()-S176,0))</f>
        <v/>
      </c>
      <c r="U176" s="9" t="n"/>
      <c r="V176" s="9" t="n"/>
      <c r="W176" s="9" t="n"/>
      <c r="X176" s="9">
        <f>IF(C176="","",IF(COUNTIF($C$4:$C$403,C176)&gt;1,"DUPLICATE",""))</f>
        <v/>
      </c>
      <c r="Y176" s="9" t="n"/>
    </row>
    <row r="177">
      <c r="A177" s="9" t="n"/>
      <c r="B177" s="9" t="n"/>
      <c r="C177" s="9" t="n"/>
      <c r="D177" s="9" t="n"/>
      <c r="E177" s="9" t="n"/>
      <c r="F177" s="9" t="n"/>
      <c r="G177" s="9" t="n"/>
      <c r="H177" s="9" t="n"/>
      <c r="I177" s="9" t="n"/>
      <c r="J177" s="9" t="n"/>
      <c r="K177" s="9" t="n"/>
      <c r="L177" s="9" t="n"/>
      <c r="M177" s="9" t="n"/>
      <c r="N177" s="8">
        <f>IF(COUNT(I177:M177)=5,SUM(I177:M177),"")</f>
        <v/>
      </c>
      <c r="O177" s="9">
        <f>IF(N177="","",IF(N177&gt;=16,"Priority",IF(N177&gt;=12,"Active",IF(N177&gt;=8,"Nurture / research","Park"))))</f>
        <v/>
      </c>
      <c r="P177" s="9" t="n"/>
      <c r="Q177" s="9" t="n"/>
      <c r="R177" s="9" t="n"/>
      <c r="S177" s="9" t="n"/>
      <c r="T177" s="9">
        <f>IF(OR(S177="",P177="Won",P177="Lost",P177="Disqualified"),"",IF(TODAY()&gt;S177,TODAY()-S177,0))</f>
        <v/>
      </c>
      <c r="U177" s="9" t="n"/>
      <c r="V177" s="9" t="n"/>
      <c r="W177" s="9" t="n"/>
      <c r="X177" s="9">
        <f>IF(C177="","",IF(COUNTIF($C$4:$C$403,C177)&gt;1,"DUPLICATE",""))</f>
        <v/>
      </c>
      <c r="Y177" s="9" t="n"/>
    </row>
    <row r="178">
      <c r="A178" s="9" t="n"/>
      <c r="B178" s="9" t="n"/>
      <c r="C178" s="9" t="n"/>
      <c r="D178" s="9" t="n"/>
      <c r="E178" s="9" t="n"/>
      <c r="F178" s="9" t="n"/>
      <c r="G178" s="9" t="n"/>
      <c r="H178" s="9" t="n"/>
      <c r="I178" s="9" t="n"/>
      <c r="J178" s="9" t="n"/>
      <c r="K178" s="9" t="n"/>
      <c r="L178" s="9" t="n"/>
      <c r="M178" s="9" t="n"/>
      <c r="N178" s="8">
        <f>IF(COUNT(I178:M178)=5,SUM(I178:M178),"")</f>
        <v/>
      </c>
      <c r="O178" s="9">
        <f>IF(N178="","",IF(N178&gt;=16,"Priority",IF(N178&gt;=12,"Active",IF(N178&gt;=8,"Nurture / research","Park"))))</f>
        <v/>
      </c>
      <c r="P178" s="9" t="n"/>
      <c r="Q178" s="9" t="n"/>
      <c r="R178" s="9" t="n"/>
      <c r="S178" s="9" t="n"/>
      <c r="T178" s="9">
        <f>IF(OR(S178="",P178="Won",P178="Lost",P178="Disqualified"),"",IF(TODAY()&gt;S178,TODAY()-S178,0))</f>
        <v/>
      </c>
      <c r="U178" s="9" t="n"/>
      <c r="V178" s="9" t="n"/>
      <c r="W178" s="9" t="n"/>
      <c r="X178" s="9">
        <f>IF(C178="","",IF(COUNTIF($C$4:$C$403,C178)&gt;1,"DUPLICATE",""))</f>
        <v/>
      </c>
      <c r="Y178" s="9" t="n"/>
    </row>
    <row r="179">
      <c r="A179" s="9" t="n"/>
      <c r="B179" s="9" t="n"/>
      <c r="C179" s="9" t="n"/>
      <c r="D179" s="9" t="n"/>
      <c r="E179" s="9" t="n"/>
      <c r="F179" s="9" t="n"/>
      <c r="G179" s="9" t="n"/>
      <c r="H179" s="9" t="n"/>
      <c r="I179" s="9" t="n"/>
      <c r="J179" s="9" t="n"/>
      <c r="K179" s="9" t="n"/>
      <c r="L179" s="9" t="n"/>
      <c r="M179" s="9" t="n"/>
      <c r="N179" s="8">
        <f>IF(COUNT(I179:M179)=5,SUM(I179:M179),"")</f>
        <v/>
      </c>
      <c r="O179" s="9">
        <f>IF(N179="","",IF(N179&gt;=16,"Priority",IF(N179&gt;=12,"Active",IF(N179&gt;=8,"Nurture / research","Park"))))</f>
        <v/>
      </c>
      <c r="P179" s="9" t="n"/>
      <c r="Q179" s="9" t="n"/>
      <c r="R179" s="9" t="n"/>
      <c r="S179" s="9" t="n"/>
      <c r="T179" s="9">
        <f>IF(OR(S179="",P179="Won",P179="Lost",P179="Disqualified"),"",IF(TODAY()&gt;S179,TODAY()-S179,0))</f>
        <v/>
      </c>
      <c r="U179" s="9" t="n"/>
      <c r="V179" s="9" t="n"/>
      <c r="W179" s="9" t="n"/>
      <c r="X179" s="9">
        <f>IF(C179="","",IF(COUNTIF($C$4:$C$403,C179)&gt;1,"DUPLICATE",""))</f>
        <v/>
      </c>
      <c r="Y179" s="9" t="n"/>
    </row>
    <row r="180">
      <c r="A180" s="9" t="n"/>
      <c r="B180" s="9" t="n"/>
      <c r="C180" s="9" t="n"/>
      <c r="D180" s="9" t="n"/>
      <c r="E180" s="9" t="n"/>
      <c r="F180" s="9" t="n"/>
      <c r="G180" s="9" t="n"/>
      <c r="H180" s="9" t="n"/>
      <c r="I180" s="9" t="n"/>
      <c r="J180" s="9" t="n"/>
      <c r="K180" s="9" t="n"/>
      <c r="L180" s="9" t="n"/>
      <c r="M180" s="9" t="n"/>
      <c r="N180" s="8">
        <f>IF(COUNT(I180:M180)=5,SUM(I180:M180),"")</f>
        <v/>
      </c>
      <c r="O180" s="9">
        <f>IF(N180="","",IF(N180&gt;=16,"Priority",IF(N180&gt;=12,"Active",IF(N180&gt;=8,"Nurture / research","Park"))))</f>
        <v/>
      </c>
      <c r="P180" s="9" t="n"/>
      <c r="Q180" s="9" t="n"/>
      <c r="R180" s="9" t="n"/>
      <c r="S180" s="9" t="n"/>
      <c r="T180" s="9">
        <f>IF(OR(S180="",P180="Won",P180="Lost",P180="Disqualified"),"",IF(TODAY()&gt;S180,TODAY()-S180,0))</f>
        <v/>
      </c>
      <c r="U180" s="9" t="n"/>
      <c r="V180" s="9" t="n"/>
      <c r="W180" s="9" t="n"/>
      <c r="X180" s="9">
        <f>IF(C180="","",IF(COUNTIF($C$4:$C$403,C180)&gt;1,"DUPLICATE",""))</f>
        <v/>
      </c>
      <c r="Y180" s="9" t="n"/>
    </row>
    <row r="181">
      <c r="A181" s="9" t="n"/>
      <c r="B181" s="9" t="n"/>
      <c r="C181" s="9" t="n"/>
      <c r="D181" s="9" t="n"/>
      <c r="E181" s="9" t="n"/>
      <c r="F181" s="9" t="n"/>
      <c r="G181" s="9" t="n"/>
      <c r="H181" s="9" t="n"/>
      <c r="I181" s="9" t="n"/>
      <c r="J181" s="9" t="n"/>
      <c r="K181" s="9" t="n"/>
      <c r="L181" s="9" t="n"/>
      <c r="M181" s="9" t="n"/>
      <c r="N181" s="8">
        <f>IF(COUNT(I181:M181)=5,SUM(I181:M181),"")</f>
        <v/>
      </c>
      <c r="O181" s="9">
        <f>IF(N181="","",IF(N181&gt;=16,"Priority",IF(N181&gt;=12,"Active",IF(N181&gt;=8,"Nurture / research","Park"))))</f>
        <v/>
      </c>
      <c r="P181" s="9" t="n"/>
      <c r="Q181" s="9" t="n"/>
      <c r="R181" s="9" t="n"/>
      <c r="S181" s="9" t="n"/>
      <c r="T181" s="9">
        <f>IF(OR(S181="",P181="Won",P181="Lost",P181="Disqualified"),"",IF(TODAY()&gt;S181,TODAY()-S181,0))</f>
        <v/>
      </c>
      <c r="U181" s="9" t="n"/>
      <c r="V181" s="9" t="n"/>
      <c r="W181" s="9" t="n"/>
      <c r="X181" s="9">
        <f>IF(C181="","",IF(COUNTIF($C$4:$C$403,C181)&gt;1,"DUPLICATE",""))</f>
        <v/>
      </c>
      <c r="Y181" s="9" t="n"/>
    </row>
    <row r="182">
      <c r="A182" s="9" t="n"/>
      <c r="B182" s="9" t="n"/>
      <c r="C182" s="9" t="n"/>
      <c r="D182" s="9" t="n"/>
      <c r="E182" s="9" t="n"/>
      <c r="F182" s="9" t="n"/>
      <c r="G182" s="9" t="n"/>
      <c r="H182" s="9" t="n"/>
      <c r="I182" s="9" t="n"/>
      <c r="J182" s="9" t="n"/>
      <c r="K182" s="9" t="n"/>
      <c r="L182" s="9" t="n"/>
      <c r="M182" s="9" t="n"/>
      <c r="N182" s="8">
        <f>IF(COUNT(I182:M182)=5,SUM(I182:M182),"")</f>
        <v/>
      </c>
      <c r="O182" s="9">
        <f>IF(N182="","",IF(N182&gt;=16,"Priority",IF(N182&gt;=12,"Active",IF(N182&gt;=8,"Nurture / research","Park"))))</f>
        <v/>
      </c>
      <c r="P182" s="9" t="n"/>
      <c r="Q182" s="9" t="n"/>
      <c r="R182" s="9" t="n"/>
      <c r="S182" s="9" t="n"/>
      <c r="T182" s="9">
        <f>IF(OR(S182="",P182="Won",P182="Lost",P182="Disqualified"),"",IF(TODAY()&gt;S182,TODAY()-S182,0))</f>
        <v/>
      </c>
      <c r="U182" s="9" t="n"/>
      <c r="V182" s="9" t="n"/>
      <c r="W182" s="9" t="n"/>
      <c r="X182" s="9">
        <f>IF(C182="","",IF(COUNTIF($C$4:$C$403,C182)&gt;1,"DUPLICATE",""))</f>
        <v/>
      </c>
      <c r="Y182" s="9" t="n"/>
    </row>
    <row r="183">
      <c r="A183" s="9" t="n"/>
      <c r="B183" s="9" t="n"/>
      <c r="C183" s="9" t="n"/>
      <c r="D183" s="9" t="n"/>
      <c r="E183" s="9" t="n"/>
      <c r="F183" s="9" t="n"/>
      <c r="G183" s="9" t="n"/>
      <c r="H183" s="9" t="n"/>
      <c r="I183" s="9" t="n"/>
      <c r="J183" s="9" t="n"/>
      <c r="K183" s="9" t="n"/>
      <c r="L183" s="9" t="n"/>
      <c r="M183" s="9" t="n"/>
      <c r="N183" s="8">
        <f>IF(COUNT(I183:M183)=5,SUM(I183:M183),"")</f>
        <v/>
      </c>
      <c r="O183" s="9">
        <f>IF(N183="","",IF(N183&gt;=16,"Priority",IF(N183&gt;=12,"Active",IF(N183&gt;=8,"Nurture / research","Park"))))</f>
        <v/>
      </c>
      <c r="P183" s="9" t="n"/>
      <c r="Q183" s="9" t="n"/>
      <c r="R183" s="9" t="n"/>
      <c r="S183" s="9" t="n"/>
      <c r="T183" s="9">
        <f>IF(OR(S183="",P183="Won",P183="Lost",P183="Disqualified"),"",IF(TODAY()&gt;S183,TODAY()-S183,0))</f>
        <v/>
      </c>
      <c r="U183" s="9" t="n"/>
      <c r="V183" s="9" t="n"/>
      <c r="W183" s="9" t="n"/>
      <c r="X183" s="9">
        <f>IF(C183="","",IF(COUNTIF($C$4:$C$403,C183)&gt;1,"DUPLICATE",""))</f>
        <v/>
      </c>
      <c r="Y183" s="9" t="n"/>
    </row>
    <row r="184">
      <c r="A184" s="9" t="n"/>
      <c r="B184" s="9" t="n"/>
      <c r="C184" s="9" t="n"/>
      <c r="D184" s="9" t="n"/>
      <c r="E184" s="9" t="n"/>
      <c r="F184" s="9" t="n"/>
      <c r="G184" s="9" t="n"/>
      <c r="H184" s="9" t="n"/>
      <c r="I184" s="9" t="n"/>
      <c r="J184" s="9" t="n"/>
      <c r="K184" s="9" t="n"/>
      <c r="L184" s="9" t="n"/>
      <c r="M184" s="9" t="n"/>
      <c r="N184" s="8">
        <f>IF(COUNT(I184:M184)=5,SUM(I184:M184),"")</f>
        <v/>
      </c>
      <c r="O184" s="9">
        <f>IF(N184="","",IF(N184&gt;=16,"Priority",IF(N184&gt;=12,"Active",IF(N184&gt;=8,"Nurture / research","Park"))))</f>
        <v/>
      </c>
      <c r="P184" s="9" t="n"/>
      <c r="Q184" s="9" t="n"/>
      <c r="R184" s="9" t="n"/>
      <c r="S184" s="9" t="n"/>
      <c r="T184" s="9">
        <f>IF(OR(S184="",P184="Won",P184="Lost",P184="Disqualified"),"",IF(TODAY()&gt;S184,TODAY()-S184,0))</f>
        <v/>
      </c>
      <c r="U184" s="9" t="n"/>
      <c r="V184" s="9" t="n"/>
      <c r="W184" s="9" t="n"/>
      <c r="X184" s="9">
        <f>IF(C184="","",IF(COUNTIF($C$4:$C$403,C184)&gt;1,"DUPLICATE",""))</f>
        <v/>
      </c>
      <c r="Y184" s="9" t="n"/>
    </row>
    <row r="185">
      <c r="A185" s="9" t="n"/>
      <c r="B185" s="9" t="n"/>
      <c r="C185" s="9" t="n"/>
      <c r="D185" s="9" t="n"/>
      <c r="E185" s="9" t="n"/>
      <c r="F185" s="9" t="n"/>
      <c r="G185" s="9" t="n"/>
      <c r="H185" s="9" t="n"/>
      <c r="I185" s="9" t="n"/>
      <c r="J185" s="9" t="n"/>
      <c r="K185" s="9" t="n"/>
      <c r="L185" s="9" t="n"/>
      <c r="M185" s="9" t="n"/>
      <c r="N185" s="8">
        <f>IF(COUNT(I185:M185)=5,SUM(I185:M185),"")</f>
        <v/>
      </c>
      <c r="O185" s="9">
        <f>IF(N185="","",IF(N185&gt;=16,"Priority",IF(N185&gt;=12,"Active",IF(N185&gt;=8,"Nurture / research","Park"))))</f>
        <v/>
      </c>
      <c r="P185" s="9" t="n"/>
      <c r="Q185" s="9" t="n"/>
      <c r="R185" s="9" t="n"/>
      <c r="S185" s="9" t="n"/>
      <c r="T185" s="9">
        <f>IF(OR(S185="",P185="Won",P185="Lost",P185="Disqualified"),"",IF(TODAY()&gt;S185,TODAY()-S185,0))</f>
        <v/>
      </c>
      <c r="U185" s="9" t="n"/>
      <c r="V185" s="9" t="n"/>
      <c r="W185" s="9" t="n"/>
      <c r="X185" s="9">
        <f>IF(C185="","",IF(COUNTIF($C$4:$C$403,C185)&gt;1,"DUPLICATE",""))</f>
        <v/>
      </c>
      <c r="Y185" s="9" t="n"/>
    </row>
    <row r="186">
      <c r="A186" s="9" t="n"/>
      <c r="B186" s="9" t="n"/>
      <c r="C186" s="9" t="n"/>
      <c r="D186" s="9" t="n"/>
      <c r="E186" s="9" t="n"/>
      <c r="F186" s="9" t="n"/>
      <c r="G186" s="9" t="n"/>
      <c r="H186" s="9" t="n"/>
      <c r="I186" s="9" t="n"/>
      <c r="J186" s="9" t="n"/>
      <c r="K186" s="9" t="n"/>
      <c r="L186" s="9" t="n"/>
      <c r="M186" s="9" t="n"/>
      <c r="N186" s="8">
        <f>IF(COUNT(I186:M186)=5,SUM(I186:M186),"")</f>
        <v/>
      </c>
      <c r="O186" s="9">
        <f>IF(N186="","",IF(N186&gt;=16,"Priority",IF(N186&gt;=12,"Active",IF(N186&gt;=8,"Nurture / research","Park"))))</f>
        <v/>
      </c>
      <c r="P186" s="9" t="n"/>
      <c r="Q186" s="9" t="n"/>
      <c r="R186" s="9" t="n"/>
      <c r="S186" s="9" t="n"/>
      <c r="T186" s="9">
        <f>IF(OR(S186="",P186="Won",P186="Lost",P186="Disqualified"),"",IF(TODAY()&gt;S186,TODAY()-S186,0))</f>
        <v/>
      </c>
      <c r="U186" s="9" t="n"/>
      <c r="V186" s="9" t="n"/>
      <c r="W186" s="9" t="n"/>
      <c r="X186" s="9">
        <f>IF(C186="","",IF(COUNTIF($C$4:$C$403,C186)&gt;1,"DUPLICATE",""))</f>
        <v/>
      </c>
      <c r="Y186" s="9" t="n"/>
    </row>
    <row r="187">
      <c r="A187" s="9" t="n"/>
      <c r="B187" s="9" t="n"/>
      <c r="C187" s="9" t="n"/>
      <c r="D187" s="9" t="n"/>
      <c r="E187" s="9" t="n"/>
      <c r="F187" s="9" t="n"/>
      <c r="G187" s="9" t="n"/>
      <c r="H187" s="9" t="n"/>
      <c r="I187" s="9" t="n"/>
      <c r="J187" s="9" t="n"/>
      <c r="K187" s="9" t="n"/>
      <c r="L187" s="9" t="n"/>
      <c r="M187" s="9" t="n"/>
      <c r="N187" s="8">
        <f>IF(COUNT(I187:M187)=5,SUM(I187:M187),"")</f>
        <v/>
      </c>
      <c r="O187" s="9">
        <f>IF(N187="","",IF(N187&gt;=16,"Priority",IF(N187&gt;=12,"Active",IF(N187&gt;=8,"Nurture / research","Park"))))</f>
        <v/>
      </c>
      <c r="P187" s="9" t="n"/>
      <c r="Q187" s="9" t="n"/>
      <c r="R187" s="9" t="n"/>
      <c r="S187" s="9" t="n"/>
      <c r="T187" s="9">
        <f>IF(OR(S187="",P187="Won",P187="Lost",P187="Disqualified"),"",IF(TODAY()&gt;S187,TODAY()-S187,0))</f>
        <v/>
      </c>
      <c r="U187" s="9" t="n"/>
      <c r="V187" s="9" t="n"/>
      <c r="W187" s="9" t="n"/>
      <c r="X187" s="9">
        <f>IF(C187="","",IF(COUNTIF($C$4:$C$403,C187)&gt;1,"DUPLICATE",""))</f>
        <v/>
      </c>
      <c r="Y187" s="9" t="n"/>
    </row>
    <row r="188">
      <c r="A188" s="9" t="n"/>
      <c r="B188" s="9" t="n"/>
      <c r="C188" s="9" t="n"/>
      <c r="D188" s="9" t="n"/>
      <c r="E188" s="9" t="n"/>
      <c r="F188" s="9" t="n"/>
      <c r="G188" s="9" t="n"/>
      <c r="H188" s="9" t="n"/>
      <c r="I188" s="9" t="n"/>
      <c r="J188" s="9" t="n"/>
      <c r="K188" s="9" t="n"/>
      <c r="L188" s="9" t="n"/>
      <c r="M188" s="9" t="n"/>
      <c r="N188" s="8">
        <f>IF(COUNT(I188:M188)=5,SUM(I188:M188),"")</f>
        <v/>
      </c>
      <c r="O188" s="9">
        <f>IF(N188="","",IF(N188&gt;=16,"Priority",IF(N188&gt;=12,"Active",IF(N188&gt;=8,"Nurture / research","Park"))))</f>
        <v/>
      </c>
      <c r="P188" s="9" t="n"/>
      <c r="Q188" s="9" t="n"/>
      <c r="R188" s="9" t="n"/>
      <c r="S188" s="9" t="n"/>
      <c r="T188" s="9">
        <f>IF(OR(S188="",P188="Won",P188="Lost",P188="Disqualified"),"",IF(TODAY()&gt;S188,TODAY()-S188,0))</f>
        <v/>
      </c>
      <c r="U188" s="9" t="n"/>
      <c r="V188" s="9" t="n"/>
      <c r="W188" s="9" t="n"/>
      <c r="X188" s="9">
        <f>IF(C188="","",IF(COUNTIF($C$4:$C$403,C188)&gt;1,"DUPLICATE",""))</f>
        <v/>
      </c>
      <c r="Y188" s="9" t="n"/>
    </row>
    <row r="189">
      <c r="A189" s="9" t="n"/>
      <c r="B189" s="9" t="n"/>
      <c r="C189" s="9" t="n"/>
      <c r="D189" s="9" t="n"/>
      <c r="E189" s="9" t="n"/>
      <c r="F189" s="9" t="n"/>
      <c r="G189" s="9" t="n"/>
      <c r="H189" s="9" t="n"/>
      <c r="I189" s="9" t="n"/>
      <c r="J189" s="9" t="n"/>
      <c r="K189" s="9" t="n"/>
      <c r="L189" s="9" t="n"/>
      <c r="M189" s="9" t="n"/>
      <c r="N189" s="8">
        <f>IF(COUNT(I189:M189)=5,SUM(I189:M189),"")</f>
        <v/>
      </c>
      <c r="O189" s="9">
        <f>IF(N189="","",IF(N189&gt;=16,"Priority",IF(N189&gt;=12,"Active",IF(N189&gt;=8,"Nurture / research","Park"))))</f>
        <v/>
      </c>
      <c r="P189" s="9" t="n"/>
      <c r="Q189" s="9" t="n"/>
      <c r="R189" s="9" t="n"/>
      <c r="S189" s="9" t="n"/>
      <c r="T189" s="9">
        <f>IF(OR(S189="",P189="Won",P189="Lost",P189="Disqualified"),"",IF(TODAY()&gt;S189,TODAY()-S189,0))</f>
        <v/>
      </c>
      <c r="U189" s="9" t="n"/>
      <c r="V189" s="9" t="n"/>
      <c r="W189" s="9" t="n"/>
      <c r="X189" s="9">
        <f>IF(C189="","",IF(COUNTIF($C$4:$C$403,C189)&gt;1,"DUPLICATE",""))</f>
        <v/>
      </c>
      <c r="Y189" s="9" t="n"/>
    </row>
    <row r="190">
      <c r="A190" s="9" t="n"/>
      <c r="B190" s="9" t="n"/>
      <c r="C190" s="9" t="n"/>
      <c r="D190" s="9" t="n"/>
      <c r="E190" s="9" t="n"/>
      <c r="F190" s="9" t="n"/>
      <c r="G190" s="9" t="n"/>
      <c r="H190" s="9" t="n"/>
      <c r="I190" s="9" t="n"/>
      <c r="J190" s="9" t="n"/>
      <c r="K190" s="9" t="n"/>
      <c r="L190" s="9" t="n"/>
      <c r="M190" s="9" t="n"/>
      <c r="N190" s="8">
        <f>IF(COUNT(I190:M190)=5,SUM(I190:M190),"")</f>
        <v/>
      </c>
      <c r="O190" s="9">
        <f>IF(N190="","",IF(N190&gt;=16,"Priority",IF(N190&gt;=12,"Active",IF(N190&gt;=8,"Nurture / research","Park"))))</f>
        <v/>
      </c>
      <c r="P190" s="9" t="n"/>
      <c r="Q190" s="9" t="n"/>
      <c r="R190" s="9" t="n"/>
      <c r="S190" s="9" t="n"/>
      <c r="T190" s="9">
        <f>IF(OR(S190="",P190="Won",P190="Lost",P190="Disqualified"),"",IF(TODAY()&gt;S190,TODAY()-S190,0))</f>
        <v/>
      </c>
      <c r="U190" s="9" t="n"/>
      <c r="V190" s="9" t="n"/>
      <c r="W190" s="9" t="n"/>
      <c r="X190" s="9">
        <f>IF(C190="","",IF(COUNTIF($C$4:$C$403,C190)&gt;1,"DUPLICATE",""))</f>
        <v/>
      </c>
      <c r="Y190" s="9" t="n"/>
    </row>
    <row r="191">
      <c r="A191" s="9" t="n"/>
      <c r="B191" s="9" t="n"/>
      <c r="C191" s="9" t="n"/>
      <c r="D191" s="9" t="n"/>
      <c r="E191" s="9" t="n"/>
      <c r="F191" s="9" t="n"/>
      <c r="G191" s="9" t="n"/>
      <c r="H191" s="9" t="n"/>
      <c r="I191" s="9" t="n"/>
      <c r="J191" s="9" t="n"/>
      <c r="K191" s="9" t="n"/>
      <c r="L191" s="9" t="n"/>
      <c r="M191" s="9" t="n"/>
      <c r="N191" s="8">
        <f>IF(COUNT(I191:M191)=5,SUM(I191:M191),"")</f>
        <v/>
      </c>
      <c r="O191" s="9">
        <f>IF(N191="","",IF(N191&gt;=16,"Priority",IF(N191&gt;=12,"Active",IF(N191&gt;=8,"Nurture / research","Park"))))</f>
        <v/>
      </c>
      <c r="P191" s="9" t="n"/>
      <c r="Q191" s="9" t="n"/>
      <c r="R191" s="9" t="n"/>
      <c r="S191" s="9" t="n"/>
      <c r="T191" s="9">
        <f>IF(OR(S191="",P191="Won",P191="Lost",P191="Disqualified"),"",IF(TODAY()&gt;S191,TODAY()-S191,0))</f>
        <v/>
      </c>
      <c r="U191" s="9" t="n"/>
      <c r="V191" s="9" t="n"/>
      <c r="W191" s="9" t="n"/>
      <c r="X191" s="9">
        <f>IF(C191="","",IF(COUNTIF($C$4:$C$403,C191)&gt;1,"DUPLICATE",""))</f>
        <v/>
      </c>
      <c r="Y191" s="9" t="n"/>
    </row>
    <row r="192">
      <c r="A192" s="9" t="n"/>
      <c r="B192" s="9" t="n"/>
      <c r="C192" s="9" t="n"/>
      <c r="D192" s="9" t="n"/>
      <c r="E192" s="9" t="n"/>
      <c r="F192" s="9" t="n"/>
      <c r="G192" s="9" t="n"/>
      <c r="H192" s="9" t="n"/>
      <c r="I192" s="9" t="n"/>
      <c r="J192" s="9" t="n"/>
      <c r="K192" s="9" t="n"/>
      <c r="L192" s="9" t="n"/>
      <c r="M192" s="9" t="n"/>
      <c r="N192" s="8">
        <f>IF(COUNT(I192:M192)=5,SUM(I192:M192),"")</f>
        <v/>
      </c>
      <c r="O192" s="9">
        <f>IF(N192="","",IF(N192&gt;=16,"Priority",IF(N192&gt;=12,"Active",IF(N192&gt;=8,"Nurture / research","Park"))))</f>
        <v/>
      </c>
      <c r="P192" s="9" t="n"/>
      <c r="Q192" s="9" t="n"/>
      <c r="R192" s="9" t="n"/>
      <c r="S192" s="9" t="n"/>
      <c r="T192" s="9">
        <f>IF(OR(S192="",P192="Won",P192="Lost",P192="Disqualified"),"",IF(TODAY()&gt;S192,TODAY()-S192,0))</f>
        <v/>
      </c>
      <c r="U192" s="9" t="n"/>
      <c r="V192" s="9" t="n"/>
      <c r="W192" s="9" t="n"/>
      <c r="X192" s="9">
        <f>IF(C192="","",IF(COUNTIF($C$4:$C$403,C192)&gt;1,"DUPLICATE",""))</f>
        <v/>
      </c>
      <c r="Y192" s="9" t="n"/>
    </row>
    <row r="193">
      <c r="A193" s="9" t="n"/>
      <c r="B193" s="9" t="n"/>
      <c r="C193" s="9" t="n"/>
      <c r="D193" s="9" t="n"/>
      <c r="E193" s="9" t="n"/>
      <c r="F193" s="9" t="n"/>
      <c r="G193" s="9" t="n"/>
      <c r="H193" s="9" t="n"/>
      <c r="I193" s="9" t="n"/>
      <c r="J193" s="9" t="n"/>
      <c r="K193" s="9" t="n"/>
      <c r="L193" s="9" t="n"/>
      <c r="M193" s="9" t="n"/>
      <c r="N193" s="8">
        <f>IF(COUNT(I193:M193)=5,SUM(I193:M193),"")</f>
        <v/>
      </c>
      <c r="O193" s="9">
        <f>IF(N193="","",IF(N193&gt;=16,"Priority",IF(N193&gt;=12,"Active",IF(N193&gt;=8,"Nurture / research","Park"))))</f>
        <v/>
      </c>
      <c r="P193" s="9" t="n"/>
      <c r="Q193" s="9" t="n"/>
      <c r="R193" s="9" t="n"/>
      <c r="S193" s="9" t="n"/>
      <c r="T193" s="9">
        <f>IF(OR(S193="",P193="Won",P193="Lost",P193="Disqualified"),"",IF(TODAY()&gt;S193,TODAY()-S193,0))</f>
        <v/>
      </c>
      <c r="U193" s="9" t="n"/>
      <c r="V193" s="9" t="n"/>
      <c r="W193" s="9" t="n"/>
      <c r="X193" s="9">
        <f>IF(C193="","",IF(COUNTIF($C$4:$C$403,C193)&gt;1,"DUPLICATE",""))</f>
        <v/>
      </c>
      <c r="Y193" s="9" t="n"/>
    </row>
    <row r="194">
      <c r="A194" s="9" t="n"/>
      <c r="B194" s="9" t="n"/>
      <c r="C194" s="9" t="n"/>
      <c r="D194" s="9" t="n"/>
      <c r="E194" s="9" t="n"/>
      <c r="F194" s="9" t="n"/>
      <c r="G194" s="9" t="n"/>
      <c r="H194" s="9" t="n"/>
      <c r="I194" s="9" t="n"/>
      <c r="J194" s="9" t="n"/>
      <c r="K194" s="9" t="n"/>
      <c r="L194" s="9" t="n"/>
      <c r="M194" s="9" t="n"/>
      <c r="N194" s="8">
        <f>IF(COUNT(I194:M194)=5,SUM(I194:M194),"")</f>
        <v/>
      </c>
      <c r="O194" s="9">
        <f>IF(N194="","",IF(N194&gt;=16,"Priority",IF(N194&gt;=12,"Active",IF(N194&gt;=8,"Nurture / research","Park"))))</f>
        <v/>
      </c>
      <c r="P194" s="9" t="n"/>
      <c r="Q194" s="9" t="n"/>
      <c r="R194" s="9" t="n"/>
      <c r="S194" s="9" t="n"/>
      <c r="T194" s="9">
        <f>IF(OR(S194="",P194="Won",P194="Lost",P194="Disqualified"),"",IF(TODAY()&gt;S194,TODAY()-S194,0))</f>
        <v/>
      </c>
      <c r="U194" s="9" t="n"/>
      <c r="V194" s="9" t="n"/>
      <c r="W194" s="9" t="n"/>
      <c r="X194" s="9">
        <f>IF(C194="","",IF(COUNTIF($C$4:$C$403,C194)&gt;1,"DUPLICATE",""))</f>
        <v/>
      </c>
      <c r="Y194" s="9" t="n"/>
    </row>
    <row r="195">
      <c r="A195" s="9" t="n"/>
      <c r="B195" s="9" t="n"/>
      <c r="C195" s="9" t="n"/>
      <c r="D195" s="9" t="n"/>
      <c r="E195" s="9" t="n"/>
      <c r="F195" s="9" t="n"/>
      <c r="G195" s="9" t="n"/>
      <c r="H195" s="9" t="n"/>
      <c r="I195" s="9" t="n"/>
      <c r="J195" s="9" t="n"/>
      <c r="K195" s="9" t="n"/>
      <c r="L195" s="9" t="n"/>
      <c r="M195" s="9" t="n"/>
      <c r="N195" s="8">
        <f>IF(COUNT(I195:M195)=5,SUM(I195:M195),"")</f>
        <v/>
      </c>
      <c r="O195" s="9">
        <f>IF(N195="","",IF(N195&gt;=16,"Priority",IF(N195&gt;=12,"Active",IF(N195&gt;=8,"Nurture / research","Park"))))</f>
        <v/>
      </c>
      <c r="P195" s="9" t="n"/>
      <c r="Q195" s="9" t="n"/>
      <c r="R195" s="9" t="n"/>
      <c r="S195" s="9" t="n"/>
      <c r="T195" s="9">
        <f>IF(OR(S195="",P195="Won",P195="Lost",P195="Disqualified"),"",IF(TODAY()&gt;S195,TODAY()-S195,0))</f>
        <v/>
      </c>
      <c r="U195" s="9" t="n"/>
      <c r="V195" s="9" t="n"/>
      <c r="W195" s="9" t="n"/>
      <c r="X195" s="9">
        <f>IF(C195="","",IF(COUNTIF($C$4:$C$403,C195)&gt;1,"DUPLICATE",""))</f>
        <v/>
      </c>
      <c r="Y195" s="9" t="n"/>
    </row>
    <row r="196">
      <c r="A196" s="9" t="n"/>
      <c r="B196" s="9" t="n"/>
      <c r="C196" s="9" t="n"/>
      <c r="D196" s="9" t="n"/>
      <c r="E196" s="9" t="n"/>
      <c r="F196" s="9" t="n"/>
      <c r="G196" s="9" t="n"/>
      <c r="H196" s="9" t="n"/>
      <c r="I196" s="9" t="n"/>
      <c r="J196" s="9" t="n"/>
      <c r="K196" s="9" t="n"/>
      <c r="L196" s="9" t="n"/>
      <c r="M196" s="9" t="n"/>
      <c r="N196" s="8">
        <f>IF(COUNT(I196:M196)=5,SUM(I196:M196),"")</f>
        <v/>
      </c>
      <c r="O196" s="9">
        <f>IF(N196="","",IF(N196&gt;=16,"Priority",IF(N196&gt;=12,"Active",IF(N196&gt;=8,"Nurture / research","Park"))))</f>
        <v/>
      </c>
      <c r="P196" s="9" t="n"/>
      <c r="Q196" s="9" t="n"/>
      <c r="R196" s="9" t="n"/>
      <c r="S196" s="9" t="n"/>
      <c r="T196" s="9">
        <f>IF(OR(S196="",P196="Won",P196="Lost",P196="Disqualified"),"",IF(TODAY()&gt;S196,TODAY()-S196,0))</f>
        <v/>
      </c>
      <c r="U196" s="9" t="n"/>
      <c r="V196" s="9" t="n"/>
      <c r="W196" s="9" t="n"/>
      <c r="X196" s="9">
        <f>IF(C196="","",IF(COUNTIF($C$4:$C$403,C196)&gt;1,"DUPLICATE",""))</f>
        <v/>
      </c>
      <c r="Y196" s="9" t="n"/>
    </row>
    <row r="197">
      <c r="A197" s="9" t="n"/>
      <c r="B197" s="9" t="n"/>
      <c r="C197" s="9" t="n"/>
      <c r="D197" s="9" t="n"/>
      <c r="E197" s="9" t="n"/>
      <c r="F197" s="9" t="n"/>
      <c r="G197" s="9" t="n"/>
      <c r="H197" s="9" t="n"/>
      <c r="I197" s="9" t="n"/>
      <c r="J197" s="9" t="n"/>
      <c r="K197" s="9" t="n"/>
      <c r="L197" s="9" t="n"/>
      <c r="M197" s="9" t="n"/>
      <c r="N197" s="8">
        <f>IF(COUNT(I197:M197)=5,SUM(I197:M197),"")</f>
        <v/>
      </c>
      <c r="O197" s="9">
        <f>IF(N197="","",IF(N197&gt;=16,"Priority",IF(N197&gt;=12,"Active",IF(N197&gt;=8,"Nurture / research","Park"))))</f>
        <v/>
      </c>
      <c r="P197" s="9" t="n"/>
      <c r="Q197" s="9" t="n"/>
      <c r="R197" s="9" t="n"/>
      <c r="S197" s="9" t="n"/>
      <c r="T197" s="9">
        <f>IF(OR(S197="",P197="Won",P197="Lost",P197="Disqualified"),"",IF(TODAY()&gt;S197,TODAY()-S197,0))</f>
        <v/>
      </c>
      <c r="U197" s="9" t="n"/>
      <c r="V197" s="9" t="n"/>
      <c r="W197" s="9" t="n"/>
      <c r="X197" s="9">
        <f>IF(C197="","",IF(COUNTIF($C$4:$C$403,C197)&gt;1,"DUPLICATE",""))</f>
        <v/>
      </c>
      <c r="Y197" s="9" t="n"/>
    </row>
    <row r="198">
      <c r="A198" s="9" t="n"/>
      <c r="B198" s="9" t="n"/>
      <c r="C198" s="9" t="n"/>
      <c r="D198" s="9" t="n"/>
      <c r="E198" s="9" t="n"/>
      <c r="F198" s="9" t="n"/>
      <c r="G198" s="9" t="n"/>
      <c r="H198" s="9" t="n"/>
      <c r="I198" s="9" t="n"/>
      <c r="J198" s="9" t="n"/>
      <c r="K198" s="9" t="n"/>
      <c r="L198" s="9" t="n"/>
      <c r="M198" s="9" t="n"/>
      <c r="N198" s="8">
        <f>IF(COUNT(I198:M198)=5,SUM(I198:M198),"")</f>
        <v/>
      </c>
      <c r="O198" s="9">
        <f>IF(N198="","",IF(N198&gt;=16,"Priority",IF(N198&gt;=12,"Active",IF(N198&gt;=8,"Nurture / research","Park"))))</f>
        <v/>
      </c>
      <c r="P198" s="9" t="n"/>
      <c r="Q198" s="9" t="n"/>
      <c r="R198" s="9" t="n"/>
      <c r="S198" s="9" t="n"/>
      <c r="T198" s="9">
        <f>IF(OR(S198="",P198="Won",P198="Lost",P198="Disqualified"),"",IF(TODAY()&gt;S198,TODAY()-S198,0))</f>
        <v/>
      </c>
      <c r="U198" s="9" t="n"/>
      <c r="V198" s="9" t="n"/>
      <c r="W198" s="9" t="n"/>
      <c r="X198" s="9">
        <f>IF(C198="","",IF(COUNTIF($C$4:$C$403,C198)&gt;1,"DUPLICATE",""))</f>
        <v/>
      </c>
      <c r="Y198" s="9" t="n"/>
    </row>
    <row r="199">
      <c r="A199" s="9" t="n"/>
      <c r="B199" s="9" t="n"/>
      <c r="C199" s="9" t="n"/>
      <c r="D199" s="9" t="n"/>
      <c r="E199" s="9" t="n"/>
      <c r="F199" s="9" t="n"/>
      <c r="G199" s="9" t="n"/>
      <c r="H199" s="9" t="n"/>
      <c r="I199" s="9" t="n"/>
      <c r="J199" s="9" t="n"/>
      <c r="K199" s="9" t="n"/>
      <c r="L199" s="9" t="n"/>
      <c r="M199" s="9" t="n"/>
      <c r="N199" s="8">
        <f>IF(COUNT(I199:M199)=5,SUM(I199:M199),"")</f>
        <v/>
      </c>
      <c r="O199" s="9">
        <f>IF(N199="","",IF(N199&gt;=16,"Priority",IF(N199&gt;=12,"Active",IF(N199&gt;=8,"Nurture / research","Park"))))</f>
        <v/>
      </c>
      <c r="P199" s="9" t="n"/>
      <c r="Q199" s="9" t="n"/>
      <c r="R199" s="9" t="n"/>
      <c r="S199" s="9" t="n"/>
      <c r="T199" s="9">
        <f>IF(OR(S199="",P199="Won",P199="Lost",P199="Disqualified"),"",IF(TODAY()&gt;S199,TODAY()-S199,0))</f>
        <v/>
      </c>
      <c r="U199" s="9" t="n"/>
      <c r="V199" s="9" t="n"/>
      <c r="W199" s="9" t="n"/>
      <c r="X199" s="9">
        <f>IF(C199="","",IF(COUNTIF($C$4:$C$403,C199)&gt;1,"DUPLICATE",""))</f>
        <v/>
      </c>
      <c r="Y199" s="9" t="n"/>
    </row>
    <row r="200">
      <c r="A200" s="9" t="n"/>
      <c r="B200" s="9" t="n"/>
      <c r="C200" s="9" t="n"/>
      <c r="D200" s="9" t="n"/>
      <c r="E200" s="9" t="n"/>
      <c r="F200" s="9" t="n"/>
      <c r="G200" s="9" t="n"/>
      <c r="H200" s="9" t="n"/>
      <c r="I200" s="9" t="n"/>
      <c r="J200" s="9" t="n"/>
      <c r="K200" s="9" t="n"/>
      <c r="L200" s="9" t="n"/>
      <c r="M200" s="9" t="n"/>
      <c r="N200" s="8">
        <f>IF(COUNT(I200:M200)=5,SUM(I200:M200),"")</f>
        <v/>
      </c>
      <c r="O200" s="9">
        <f>IF(N200="","",IF(N200&gt;=16,"Priority",IF(N200&gt;=12,"Active",IF(N200&gt;=8,"Nurture / research","Park"))))</f>
        <v/>
      </c>
      <c r="P200" s="9" t="n"/>
      <c r="Q200" s="9" t="n"/>
      <c r="R200" s="9" t="n"/>
      <c r="S200" s="9" t="n"/>
      <c r="T200" s="9">
        <f>IF(OR(S200="",P200="Won",P200="Lost",P200="Disqualified"),"",IF(TODAY()&gt;S200,TODAY()-S200,0))</f>
        <v/>
      </c>
      <c r="U200" s="9" t="n"/>
      <c r="V200" s="9" t="n"/>
      <c r="W200" s="9" t="n"/>
      <c r="X200" s="9">
        <f>IF(C200="","",IF(COUNTIF($C$4:$C$403,C200)&gt;1,"DUPLICATE",""))</f>
        <v/>
      </c>
      <c r="Y200" s="9" t="n"/>
    </row>
    <row r="201">
      <c r="A201" s="9" t="n"/>
      <c r="B201" s="9" t="n"/>
      <c r="C201" s="9" t="n"/>
      <c r="D201" s="9" t="n"/>
      <c r="E201" s="9" t="n"/>
      <c r="F201" s="9" t="n"/>
      <c r="G201" s="9" t="n"/>
      <c r="H201" s="9" t="n"/>
      <c r="I201" s="9" t="n"/>
      <c r="J201" s="9" t="n"/>
      <c r="K201" s="9" t="n"/>
      <c r="L201" s="9" t="n"/>
      <c r="M201" s="9" t="n"/>
      <c r="N201" s="8">
        <f>IF(COUNT(I201:M201)=5,SUM(I201:M201),"")</f>
        <v/>
      </c>
      <c r="O201" s="9">
        <f>IF(N201="","",IF(N201&gt;=16,"Priority",IF(N201&gt;=12,"Active",IF(N201&gt;=8,"Nurture / research","Park"))))</f>
        <v/>
      </c>
      <c r="P201" s="9" t="n"/>
      <c r="Q201" s="9" t="n"/>
      <c r="R201" s="9" t="n"/>
      <c r="S201" s="9" t="n"/>
      <c r="T201" s="9">
        <f>IF(OR(S201="",P201="Won",P201="Lost",P201="Disqualified"),"",IF(TODAY()&gt;S201,TODAY()-S201,0))</f>
        <v/>
      </c>
      <c r="U201" s="9" t="n"/>
      <c r="V201" s="9" t="n"/>
      <c r="W201" s="9" t="n"/>
      <c r="X201" s="9">
        <f>IF(C201="","",IF(COUNTIF($C$4:$C$403,C201)&gt;1,"DUPLICATE",""))</f>
        <v/>
      </c>
      <c r="Y201" s="9" t="n"/>
    </row>
    <row r="202">
      <c r="A202" s="9" t="n"/>
      <c r="B202" s="9" t="n"/>
      <c r="C202" s="9" t="n"/>
      <c r="D202" s="9" t="n"/>
      <c r="E202" s="9" t="n"/>
      <c r="F202" s="9" t="n"/>
      <c r="G202" s="9" t="n"/>
      <c r="H202" s="9" t="n"/>
      <c r="I202" s="9" t="n"/>
      <c r="J202" s="9" t="n"/>
      <c r="K202" s="9" t="n"/>
      <c r="L202" s="9" t="n"/>
      <c r="M202" s="9" t="n"/>
      <c r="N202" s="8">
        <f>IF(COUNT(I202:M202)=5,SUM(I202:M202),"")</f>
        <v/>
      </c>
      <c r="O202" s="9">
        <f>IF(N202="","",IF(N202&gt;=16,"Priority",IF(N202&gt;=12,"Active",IF(N202&gt;=8,"Nurture / research","Park"))))</f>
        <v/>
      </c>
      <c r="P202" s="9" t="n"/>
      <c r="Q202" s="9" t="n"/>
      <c r="R202" s="9" t="n"/>
      <c r="S202" s="9" t="n"/>
      <c r="T202" s="9">
        <f>IF(OR(S202="",P202="Won",P202="Lost",P202="Disqualified"),"",IF(TODAY()&gt;S202,TODAY()-S202,0))</f>
        <v/>
      </c>
      <c r="U202" s="9" t="n"/>
      <c r="V202" s="9" t="n"/>
      <c r="W202" s="9" t="n"/>
      <c r="X202" s="9">
        <f>IF(C202="","",IF(COUNTIF($C$4:$C$403,C202)&gt;1,"DUPLICATE",""))</f>
        <v/>
      </c>
      <c r="Y202" s="9" t="n"/>
    </row>
    <row r="203">
      <c r="A203" s="9" t="n"/>
      <c r="B203" s="9" t="n"/>
      <c r="C203" s="9" t="n"/>
      <c r="D203" s="9" t="n"/>
      <c r="E203" s="9" t="n"/>
      <c r="F203" s="9" t="n"/>
      <c r="G203" s="9" t="n"/>
      <c r="H203" s="9" t="n"/>
      <c r="I203" s="9" t="n"/>
      <c r="J203" s="9" t="n"/>
      <c r="K203" s="9" t="n"/>
      <c r="L203" s="9" t="n"/>
      <c r="M203" s="9" t="n"/>
      <c r="N203" s="8">
        <f>IF(COUNT(I203:M203)=5,SUM(I203:M203),"")</f>
        <v/>
      </c>
      <c r="O203" s="9">
        <f>IF(N203="","",IF(N203&gt;=16,"Priority",IF(N203&gt;=12,"Active",IF(N203&gt;=8,"Nurture / research","Park"))))</f>
        <v/>
      </c>
      <c r="P203" s="9" t="n"/>
      <c r="Q203" s="9" t="n"/>
      <c r="R203" s="9" t="n"/>
      <c r="S203" s="9" t="n"/>
      <c r="T203" s="9">
        <f>IF(OR(S203="",P203="Won",P203="Lost",P203="Disqualified"),"",IF(TODAY()&gt;S203,TODAY()-S203,0))</f>
        <v/>
      </c>
      <c r="U203" s="9" t="n"/>
      <c r="V203" s="9" t="n"/>
      <c r="W203" s="9" t="n"/>
      <c r="X203" s="9">
        <f>IF(C203="","",IF(COUNTIF($C$4:$C$403,C203)&gt;1,"DUPLICATE",""))</f>
        <v/>
      </c>
      <c r="Y203" s="9" t="n"/>
    </row>
    <row r="204">
      <c r="A204" s="9" t="n"/>
      <c r="B204" s="9" t="n"/>
      <c r="C204" s="9" t="n"/>
      <c r="D204" s="9" t="n"/>
      <c r="E204" s="9" t="n"/>
      <c r="F204" s="9" t="n"/>
      <c r="G204" s="9" t="n"/>
      <c r="H204" s="9" t="n"/>
      <c r="I204" s="9" t="n"/>
      <c r="J204" s="9" t="n"/>
      <c r="K204" s="9" t="n"/>
      <c r="L204" s="9" t="n"/>
      <c r="M204" s="9" t="n"/>
      <c r="N204" s="8">
        <f>IF(COUNT(I204:M204)=5,SUM(I204:M204),"")</f>
        <v/>
      </c>
      <c r="O204" s="9">
        <f>IF(N204="","",IF(N204&gt;=16,"Priority",IF(N204&gt;=12,"Active",IF(N204&gt;=8,"Nurture / research","Park"))))</f>
        <v/>
      </c>
      <c r="P204" s="9" t="n"/>
      <c r="Q204" s="9" t="n"/>
      <c r="R204" s="9" t="n"/>
      <c r="S204" s="9" t="n"/>
      <c r="T204" s="9">
        <f>IF(OR(S204="",P204="Won",P204="Lost",P204="Disqualified"),"",IF(TODAY()&gt;S204,TODAY()-S204,0))</f>
        <v/>
      </c>
      <c r="U204" s="9" t="n"/>
      <c r="V204" s="9" t="n"/>
      <c r="W204" s="9" t="n"/>
      <c r="X204" s="9">
        <f>IF(C204="","",IF(COUNTIF($C$4:$C$403,C204)&gt;1,"DUPLICATE",""))</f>
        <v/>
      </c>
      <c r="Y204" s="9" t="n"/>
    </row>
    <row r="205">
      <c r="A205" s="9" t="n"/>
      <c r="B205" s="9" t="n"/>
      <c r="C205" s="9" t="n"/>
      <c r="D205" s="9" t="n"/>
      <c r="E205" s="9" t="n"/>
      <c r="F205" s="9" t="n"/>
      <c r="G205" s="9" t="n"/>
      <c r="H205" s="9" t="n"/>
      <c r="I205" s="9" t="n"/>
      <c r="J205" s="9" t="n"/>
      <c r="K205" s="9" t="n"/>
      <c r="L205" s="9" t="n"/>
      <c r="M205" s="9" t="n"/>
      <c r="N205" s="8">
        <f>IF(COUNT(I205:M205)=5,SUM(I205:M205),"")</f>
        <v/>
      </c>
      <c r="O205" s="9">
        <f>IF(N205="","",IF(N205&gt;=16,"Priority",IF(N205&gt;=12,"Active",IF(N205&gt;=8,"Nurture / research","Park"))))</f>
        <v/>
      </c>
      <c r="P205" s="9" t="n"/>
      <c r="Q205" s="9" t="n"/>
      <c r="R205" s="9" t="n"/>
      <c r="S205" s="9" t="n"/>
      <c r="T205" s="9">
        <f>IF(OR(S205="",P205="Won",P205="Lost",P205="Disqualified"),"",IF(TODAY()&gt;S205,TODAY()-S205,0))</f>
        <v/>
      </c>
      <c r="U205" s="9" t="n"/>
      <c r="V205" s="9" t="n"/>
      <c r="W205" s="9" t="n"/>
      <c r="X205" s="9">
        <f>IF(C205="","",IF(COUNTIF($C$4:$C$403,C205)&gt;1,"DUPLICATE",""))</f>
        <v/>
      </c>
      <c r="Y205" s="9" t="n"/>
    </row>
    <row r="206">
      <c r="A206" s="9" t="n"/>
      <c r="B206" s="9" t="n"/>
      <c r="C206" s="9" t="n"/>
      <c r="D206" s="9" t="n"/>
      <c r="E206" s="9" t="n"/>
      <c r="F206" s="9" t="n"/>
      <c r="G206" s="9" t="n"/>
      <c r="H206" s="9" t="n"/>
      <c r="I206" s="9" t="n"/>
      <c r="J206" s="9" t="n"/>
      <c r="K206" s="9" t="n"/>
      <c r="L206" s="9" t="n"/>
      <c r="M206" s="9" t="n"/>
      <c r="N206" s="8">
        <f>IF(COUNT(I206:M206)=5,SUM(I206:M206),"")</f>
        <v/>
      </c>
      <c r="O206" s="9">
        <f>IF(N206="","",IF(N206&gt;=16,"Priority",IF(N206&gt;=12,"Active",IF(N206&gt;=8,"Nurture / research","Park"))))</f>
        <v/>
      </c>
      <c r="P206" s="9" t="n"/>
      <c r="Q206" s="9" t="n"/>
      <c r="R206" s="9" t="n"/>
      <c r="S206" s="9" t="n"/>
      <c r="T206" s="9">
        <f>IF(OR(S206="",P206="Won",P206="Lost",P206="Disqualified"),"",IF(TODAY()&gt;S206,TODAY()-S206,0))</f>
        <v/>
      </c>
      <c r="U206" s="9" t="n"/>
      <c r="V206" s="9" t="n"/>
      <c r="W206" s="9" t="n"/>
      <c r="X206" s="9">
        <f>IF(C206="","",IF(COUNTIF($C$4:$C$403,C206)&gt;1,"DUPLICATE",""))</f>
        <v/>
      </c>
      <c r="Y206" s="9" t="n"/>
    </row>
    <row r="207">
      <c r="A207" s="9" t="n"/>
      <c r="B207" s="9" t="n"/>
      <c r="C207" s="9" t="n"/>
      <c r="D207" s="9" t="n"/>
      <c r="E207" s="9" t="n"/>
      <c r="F207" s="9" t="n"/>
      <c r="G207" s="9" t="n"/>
      <c r="H207" s="9" t="n"/>
      <c r="I207" s="9" t="n"/>
      <c r="J207" s="9" t="n"/>
      <c r="K207" s="9" t="n"/>
      <c r="L207" s="9" t="n"/>
      <c r="M207" s="9" t="n"/>
      <c r="N207" s="8">
        <f>IF(COUNT(I207:M207)=5,SUM(I207:M207),"")</f>
        <v/>
      </c>
      <c r="O207" s="9">
        <f>IF(N207="","",IF(N207&gt;=16,"Priority",IF(N207&gt;=12,"Active",IF(N207&gt;=8,"Nurture / research","Park"))))</f>
        <v/>
      </c>
      <c r="P207" s="9" t="n"/>
      <c r="Q207" s="9" t="n"/>
      <c r="R207" s="9" t="n"/>
      <c r="S207" s="9" t="n"/>
      <c r="T207" s="9">
        <f>IF(OR(S207="",P207="Won",P207="Lost",P207="Disqualified"),"",IF(TODAY()&gt;S207,TODAY()-S207,0))</f>
        <v/>
      </c>
      <c r="U207" s="9" t="n"/>
      <c r="V207" s="9" t="n"/>
      <c r="W207" s="9" t="n"/>
      <c r="X207" s="9">
        <f>IF(C207="","",IF(COUNTIF($C$4:$C$403,C207)&gt;1,"DUPLICATE",""))</f>
        <v/>
      </c>
      <c r="Y207" s="9" t="n"/>
    </row>
    <row r="208">
      <c r="A208" s="9" t="n"/>
      <c r="B208" s="9" t="n"/>
      <c r="C208" s="9" t="n"/>
      <c r="D208" s="9" t="n"/>
      <c r="E208" s="9" t="n"/>
      <c r="F208" s="9" t="n"/>
      <c r="G208" s="9" t="n"/>
      <c r="H208" s="9" t="n"/>
      <c r="I208" s="9" t="n"/>
      <c r="J208" s="9" t="n"/>
      <c r="K208" s="9" t="n"/>
      <c r="L208" s="9" t="n"/>
      <c r="M208" s="9" t="n"/>
      <c r="N208" s="8">
        <f>IF(COUNT(I208:M208)=5,SUM(I208:M208),"")</f>
        <v/>
      </c>
      <c r="O208" s="9">
        <f>IF(N208="","",IF(N208&gt;=16,"Priority",IF(N208&gt;=12,"Active",IF(N208&gt;=8,"Nurture / research","Park"))))</f>
        <v/>
      </c>
      <c r="P208" s="9" t="n"/>
      <c r="Q208" s="9" t="n"/>
      <c r="R208" s="9" t="n"/>
      <c r="S208" s="9" t="n"/>
      <c r="T208" s="9">
        <f>IF(OR(S208="",P208="Won",P208="Lost",P208="Disqualified"),"",IF(TODAY()&gt;S208,TODAY()-S208,0))</f>
        <v/>
      </c>
      <c r="U208" s="9" t="n"/>
      <c r="V208" s="9" t="n"/>
      <c r="W208" s="9" t="n"/>
      <c r="X208" s="9">
        <f>IF(C208="","",IF(COUNTIF($C$4:$C$403,C208)&gt;1,"DUPLICATE",""))</f>
        <v/>
      </c>
      <c r="Y208" s="9" t="n"/>
    </row>
    <row r="209">
      <c r="A209" s="9" t="n"/>
      <c r="B209" s="9" t="n"/>
      <c r="C209" s="9" t="n"/>
      <c r="D209" s="9" t="n"/>
      <c r="E209" s="9" t="n"/>
      <c r="F209" s="9" t="n"/>
      <c r="G209" s="9" t="n"/>
      <c r="H209" s="9" t="n"/>
      <c r="I209" s="9" t="n"/>
      <c r="J209" s="9" t="n"/>
      <c r="K209" s="9" t="n"/>
      <c r="L209" s="9" t="n"/>
      <c r="M209" s="9" t="n"/>
      <c r="N209" s="8">
        <f>IF(COUNT(I209:M209)=5,SUM(I209:M209),"")</f>
        <v/>
      </c>
      <c r="O209" s="9">
        <f>IF(N209="","",IF(N209&gt;=16,"Priority",IF(N209&gt;=12,"Active",IF(N209&gt;=8,"Nurture / research","Park"))))</f>
        <v/>
      </c>
      <c r="P209" s="9" t="n"/>
      <c r="Q209" s="9" t="n"/>
      <c r="R209" s="9" t="n"/>
      <c r="S209" s="9" t="n"/>
      <c r="T209" s="9">
        <f>IF(OR(S209="",P209="Won",P209="Lost",P209="Disqualified"),"",IF(TODAY()&gt;S209,TODAY()-S209,0))</f>
        <v/>
      </c>
      <c r="U209" s="9" t="n"/>
      <c r="V209" s="9" t="n"/>
      <c r="W209" s="9" t="n"/>
      <c r="X209" s="9">
        <f>IF(C209="","",IF(COUNTIF($C$4:$C$403,C209)&gt;1,"DUPLICATE",""))</f>
        <v/>
      </c>
      <c r="Y209" s="9" t="n"/>
    </row>
    <row r="210">
      <c r="A210" s="9" t="n"/>
      <c r="B210" s="9" t="n"/>
      <c r="C210" s="9" t="n"/>
      <c r="D210" s="9" t="n"/>
      <c r="E210" s="9" t="n"/>
      <c r="F210" s="9" t="n"/>
      <c r="G210" s="9" t="n"/>
      <c r="H210" s="9" t="n"/>
      <c r="I210" s="9" t="n"/>
      <c r="J210" s="9" t="n"/>
      <c r="K210" s="9" t="n"/>
      <c r="L210" s="9" t="n"/>
      <c r="M210" s="9" t="n"/>
      <c r="N210" s="8">
        <f>IF(COUNT(I210:M210)=5,SUM(I210:M210),"")</f>
        <v/>
      </c>
      <c r="O210" s="9">
        <f>IF(N210="","",IF(N210&gt;=16,"Priority",IF(N210&gt;=12,"Active",IF(N210&gt;=8,"Nurture / research","Park"))))</f>
        <v/>
      </c>
      <c r="P210" s="9" t="n"/>
      <c r="Q210" s="9" t="n"/>
      <c r="R210" s="9" t="n"/>
      <c r="S210" s="9" t="n"/>
      <c r="T210" s="9">
        <f>IF(OR(S210="",P210="Won",P210="Lost",P210="Disqualified"),"",IF(TODAY()&gt;S210,TODAY()-S210,0))</f>
        <v/>
      </c>
      <c r="U210" s="9" t="n"/>
      <c r="V210" s="9" t="n"/>
      <c r="W210" s="9" t="n"/>
      <c r="X210" s="9">
        <f>IF(C210="","",IF(COUNTIF($C$4:$C$403,C210)&gt;1,"DUPLICATE",""))</f>
        <v/>
      </c>
      <c r="Y210" s="9" t="n"/>
    </row>
    <row r="211">
      <c r="A211" s="9" t="n"/>
      <c r="B211" s="9" t="n"/>
      <c r="C211" s="9" t="n"/>
      <c r="D211" s="9" t="n"/>
      <c r="E211" s="9" t="n"/>
      <c r="F211" s="9" t="n"/>
      <c r="G211" s="9" t="n"/>
      <c r="H211" s="9" t="n"/>
      <c r="I211" s="9" t="n"/>
      <c r="J211" s="9" t="n"/>
      <c r="K211" s="9" t="n"/>
      <c r="L211" s="9" t="n"/>
      <c r="M211" s="9" t="n"/>
      <c r="N211" s="8">
        <f>IF(COUNT(I211:M211)=5,SUM(I211:M211),"")</f>
        <v/>
      </c>
      <c r="O211" s="9">
        <f>IF(N211="","",IF(N211&gt;=16,"Priority",IF(N211&gt;=12,"Active",IF(N211&gt;=8,"Nurture / research","Park"))))</f>
        <v/>
      </c>
      <c r="P211" s="9" t="n"/>
      <c r="Q211" s="9" t="n"/>
      <c r="R211" s="9" t="n"/>
      <c r="S211" s="9" t="n"/>
      <c r="T211" s="9">
        <f>IF(OR(S211="",P211="Won",P211="Lost",P211="Disqualified"),"",IF(TODAY()&gt;S211,TODAY()-S211,0))</f>
        <v/>
      </c>
      <c r="U211" s="9" t="n"/>
      <c r="V211" s="9" t="n"/>
      <c r="W211" s="9" t="n"/>
      <c r="X211" s="9">
        <f>IF(C211="","",IF(COUNTIF($C$4:$C$403,C211)&gt;1,"DUPLICATE",""))</f>
        <v/>
      </c>
      <c r="Y211" s="9" t="n"/>
    </row>
    <row r="212">
      <c r="A212" s="9" t="n"/>
      <c r="B212" s="9" t="n"/>
      <c r="C212" s="9" t="n"/>
      <c r="D212" s="9" t="n"/>
      <c r="E212" s="9" t="n"/>
      <c r="F212" s="9" t="n"/>
      <c r="G212" s="9" t="n"/>
      <c r="H212" s="9" t="n"/>
      <c r="I212" s="9" t="n"/>
      <c r="J212" s="9" t="n"/>
      <c r="K212" s="9" t="n"/>
      <c r="L212" s="9" t="n"/>
      <c r="M212" s="9" t="n"/>
      <c r="N212" s="8">
        <f>IF(COUNT(I212:M212)=5,SUM(I212:M212),"")</f>
        <v/>
      </c>
      <c r="O212" s="9">
        <f>IF(N212="","",IF(N212&gt;=16,"Priority",IF(N212&gt;=12,"Active",IF(N212&gt;=8,"Nurture / research","Park"))))</f>
        <v/>
      </c>
      <c r="P212" s="9" t="n"/>
      <c r="Q212" s="9" t="n"/>
      <c r="R212" s="9" t="n"/>
      <c r="S212" s="9" t="n"/>
      <c r="T212" s="9">
        <f>IF(OR(S212="",P212="Won",P212="Lost",P212="Disqualified"),"",IF(TODAY()&gt;S212,TODAY()-S212,0))</f>
        <v/>
      </c>
      <c r="U212" s="9" t="n"/>
      <c r="V212" s="9" t="n"/>
      <c r="W212" s="9" t="n"/>
      <c r="X212" s="9">
        <f>IF(C212="","",IF(COUNTIF($C$4:$C$403,C212)&gt;1,"DUPLICATE",""))</f>
        <v/>
      </c>
      <c r="Y212" s="9" t="n"/>
    </row>
    <row r="213">
      <c r="A213" s="9" t="n"/>
      <c r="B213" s="9" t="n"/>
      <c r="C213" s="9" t="n"/>
      <c r="D213" s="9" t="n"/>
      <c r="E213" s="9" t="n"/>
      <c r="F213" s="9" t="n"/>
      <c r="G213" s="9" t="n"/>
      <c r="H213" s="9" t="n"/>
      <c r="I213" s="9" t="n"/>
      <c r="J213" s="9" t="n"/>
      <c r="K213" s="9" t="n"/>
      <c r="L213" s="9" t="n"/>
      <c r="M213" s="9" t="n"/>
      <c r="N213" s="8">
        <f>IF(COUNT(I213:M213)=5,SUM(I213:M213),"")</f>
        <v/>
      </c>
      <c r="O213" s="9">
        <f>IF(N213="","",IF(N213&gt;=16,"Priority",IF(N213&gt;=12,"Active",IF(N213&gt;=8,"Nurture / research","Park"))))</f>
        <v/>
      </c>
      <c r="P213" s="9" t="n"/>
      <c r="Q213" s="9" t="n"/>
      <c r="R213" s="9" t="n"/>
      <c r="S213" s="9" t="n"/>
      <c r="T213" s="9">
        <f>IF(OR(S213="",P213="Won",P213="Lost",P213="Disqualified"),"",IF(TODAY()&gt;S213,TODAY()-S213,0))</f>
        <v/>
      </c>
      <c r="U213" s="9" t="n"/>
      <c r="V213" s="9" t="n"/>
      <c r="W213" s="9" t="n"/>
      <c r="X213" s="9">
        <f>IF(C213="","",IF(COUNTIF($C$4:$C$403,C213)&gt;1,"DUPLICATE",""))</f>
        <v/>
      </c>
      <c r="Y213" s="9" t="n"/>
    </row>
    <row r="214">
      <c r="A214" s="9" t="n"/>
      <c r="B214" s="9" t="n"/>
      <c r="C214" s="9" t="n"/>
      <c r="D214" s="9" t="n"/>
      <c r="E214" s="9" t="n"/>
      <c r="F214" s="9" t="n"/>
      <c r="G214" s="9" t="n"/>
      <c r="H214" s="9" t="n"/>
      <c r="I214" s="9" t="n"/>
      <c r="J214" s="9" t="n"/>
      <c r="K214" s="9" t="n"/>
      <c r="L214" s="9" t="n"/>
      <c r="M214" s="9" t="n"/>
      <c r="N214" s="8">
        <f>IF(COUNT(I214:M214)=5,SUM(I214:M214),"")</f>
        <v/>
      </c>
      <c r="O214" s="9">
        <f>IF(N214="","",IF(N214&gt;=16,"Priority",IF(N214&gt;=12,"Active",IF(N214&gt;=8,"Nurture / research","Park"))))</f>
        <v/>
      </c>
      <c r="P214" s="9" t="n"/>
      <c r="Q214" s="9" t="n"/>
      <c r="R214" s="9" t="n"/>
      <c r="S214" s="9" t="n"/>
      <c r="T214" s="9">
        <f>IF(OR(S214="",P214="Won",P214="Lost",P214="Disqualified"),"",IF(TODAY()&gt;S214,TODAY()-S214,0))</f>
        <v/>
      </c>
      <c r="U214" s="9" t="n"/>
      <c r="V214" s="9" t="n"/>
      <c r="W214" s="9" t="n"/>
      <c r="X214" s="9">
        <f>IF(C214="","",IF(COUNTIF($C$4:$C$403,C214)&gt;1,"DUPLICATE",""))</f>
        <v/>
      </c>
      <c r="Y214" s="9" t="n"/>
    </row>
    <row r="215">
      <c r="A215" s="9" t="n"/>
      <c r="B215" s="9" t="n"/>
      <c r="C215" s="9" t="n"/>
      <c r="D215" s="9" t="n"/>
      <c r="E215" s="9" t="n"/>
      <c r="F215" s="9" t="n"/>
      <c r="G215" s="9" t="n"/>
      <c r="H215" s="9" t="n"/>
      <c r="I215" s="9" t="n"/>
      <c r="J215" s="9" t="n"/>
      <c r="K215" s="9" t="n"/>
      <c r="L215" s="9" t="n"/>
      <c r="M215" s="9" t="n"/>
      <c r="N215" s="8">
        <f>IF(COUNT(I215:M215)=5,SUM(I215:M215),"")</f>
        <v/>
      </c>
      <c r="O215" s="9">
        <f>IF(N215="","",IF(N215&gt;=16,"Priority",IF(N215&gt;=12,"Active",IF(N215&gt;=8,"Nurture / research","Park"))))</f>
        <v/>
      </c>
      <c r="P215" s="9" t="n"/>
      <c r="Q215" s="9" t="n"/>
      <c r="R215" s="9" t="n"/>
      <c r="S215" s="9" t="n"/>
      <c r="T215" s="9">
        <f>IF(OR(S215="",P215="Won",P215="Lost",P215="Disqualified"),"",IF(TODAY()&gt;S215,TODAY()-S215,0))</f>
        <v/>
      </c>
      <c r="U215" s="9" t="n"/>
      <c r="V215" s="9" t="n"/>
      <c r="W215" s="9" t="n"/>
      <c r="X215" s="9">
        <f>IF(C215="","",IF(COUNTIF($C$4:$C$403,C215)&gt;1,"DUPLICATE",""))</f>
        <v/>
      </c>
      <c r="Y215" s="9" t="n"/>
    </row>
    <row r="216">
      <c r="A216" s="9" t="n"/>
      <c r="B216" s="9" t="n"/>
      <c r="C216" s="9" t="n"/>
      <c r="D216" s="9" t="n"/>
      <c r="E216" s="9" t="n"/>
      <c r="F216" s="9" t="n"/>
      <c r="G216" s="9" t="n"/>
      <c r="H216" s="9" t="n"/>
      <c r="I216" s="9" t="n"/>
      <c r="J216" s="9" t="n"/>
      <c r="K216" s="9" t="n"/>
      <c r="L216" s="9" t="n"/>
      <c r="M216" s="9" t="n"/>
      <c r="N216" s="8">
        <f>IF(COUNT(I216:M216)=5,SUM(I216:M216),"")</f>
        <v/>
      </c>
      <c r="O216" s="9">
        <f>IF(N216="","",IF(N216&gt;=16,"Priority",IF(N216&gt;=12,"Active",IF(N216&gt;=8,"Nurture / research","Park"))))</f>
        <v/>
      </c>
      <c r="P216" s="9" t="n"/>
      <c r="Q216" s="9" t="n"/>
      <c r="R216" s="9" t="n"/>
      <c r="S216" s="9" t="n"/>
      <c r="T216" s="9">
        <f>IF(OR(S216="",P216="Won",P216="Lost",P216="Disqualified"),"",IF(TODAY()&gt;S216,TODAY()-S216,0))</f>
        <v/>
      </c>
      <c r="U216" s="9" t="n"/>
      <c r="V216" s="9" t="n"/>
      <c r="W216" s="9" t="n"/>
      <c r="X216" s="9">
        <f>IF(C216="","",IF(COUNTIF($C$4:$C$403,C216)&gt;1,"DUPLICATE",""))</f>
        <v/>
      </c>
      <c r="Y216" s="9" t="n"/>
    </row>
    <row r="217">
      <c r="A217" s="9" t="n"/>
      <c r="B217" s="9" t="n"/>
      <c r="C217" s="9" t="n"/>
      <c r="D217" s="9" t="n"/>
      <c r="E217" s="9" t="n"/>
      <c r="F217" s="9" t="n"/>
      <c r="G217" s="9" t="n"/>
      <c r="H217" s="9" t="n"/>
      <c r="I217" s="9" t="n"/>
      <c r="J217" s="9" t="n"/>
      <c r="K217" s="9" t="n"/>
      <c r="L217" s="9" t="n"/>
      <c r="M217" s="9" t="n"/>
      <c r="N217" s="8">
        <f>IF(COUNT(I217:M217)=5,SUM(I217:M217),"")</f>
        <v/>
      </c>
      <c r="O217" s="9">
        <f>IF(N217="","",IF(N217&gt;=16,"Priority",IF(N217&gt;=12,"Active",IF(N217&gt;=8,"Nurture / research","Park"))))</f>
        <v/>
      </c>
      <c r="P217" s="9" t="n"/>
      <c r="Q217" s="9" t="n"/>
      <c r="R217" s="9" t="n"/>
      <c r="S217" s="9" t="n"/>
      <c r="T217" s="9">
        <f>IF(OR(S217="",P217="Won",P217="Lost",P217="Disqualified"),"",IF(TODAY()&gt;S217,TODAY()-S217,0))</f>
        <v/>
      </c>
      <c r="U217" s="9" t="n"/>
      <c r="V217" s="9" t="n"/>
      <c r="W217" s="9" t="n"/>
      <c r="X217" s="9">
        <f>IF(C217="","",IF(COUNTIF($C$4:$C$403,C217)&gt;1,"DUPLICATE",""))</f>
        <v/>
      </c>
      <c r="Y217" s="9" t="n"/>
    </row>
    <row r="218">
      <c r="A218" s="9" t="n"/>
      <c r="B218" s="9" t="n"/>
      <c r="C218" s="9" t="n"/>
      <c r="D218" s="9" t="n"/>
      <c r="E218" s="9" t="n"/>
      <c r="F218" s="9" t="n"/>
      <c r="G218" s="9" t="n"/>
      <c r="H218" s="9" t="n"/>
      <c r="I218" s="9" t="n"/>
      <c r="J218" s="9" t="n"/>
      <c r="K218" s="9" t="n"/>
      <c r="L218" s="9" t="n"/>
      <c r="M218" s="9" t="n"/>
      <c r="N218" s="8">
        <f>IF(COUNT(I218:M218)=5,SUM(I218:M218),"")</f>
        <v/>
      </c>
      <c r="O218" s="9">
        <f>IF(N218="","",IF(N218&gt;=16,"Priority",IF(N218&gt;=12,"Active",IF(N218&gt;=8,"Nurture / research","Park"))))</f>
        <v/>
      </c>
      <c r="P218" s="9" t="n"/>
      <c r="Q218" s="9" t="n"/>
      <c r="R218" s="9" t="n"/>
      <c r="S218" s="9" t="n"/>
      <c r="T218" s="9">
        <f>IF(OR(S218="",P218="Won",P218="Lost",P218="Disqualified"),"",IF(TODAY()&gt;S218,TODAY()-S218,0))</f>
        <v/>
      </c>
      <c r="U218" s="9" t="n"/>
      <c r="V218" s="9" t="n"/>
      <c r="W218" s="9" t="n"/>
      <c r="X218" s="9">
        <f>IF(C218="","",IF(COUNTIF($C$4:$C$403,C218)&gt;1,"DUPLICATE",""))</f>
        <v/>
      </c>
      <c r="Y218" s="9" t="n"/>
    </row>
    <row r="219">
      <c r="A219" s="9" t="n"/>
      <c r="B219" s="9" t="n"/>
      <c r="C219" s="9" t="n"/>
      <c r="D219" s="9" t="n"/>
      <c r="E219" s="9" t="n"/>
      <c r="F219" s="9" t="n"/>
      <c r="G219" s="9" t="n"/>
      <c r="H219" s="9" t="n"/>
      <c r="I219" s="9" t="n"/>
      <c r="J219" s="9" t="n"/>
      <c r="K219" s="9" t="n"/>
      <c r="L219" s="9" t="n"/>
      <c r="M219" s="9" t="n"/>
      <c r="N219" s="8">
        <f>IF(COUNT(I219:M219)=5,SUM(I219:M219),"")</f>
        <v/>
      </c>
      <c r="O219" s="9">
        <f>IF(N219="","",IF(N219&gt;=16,"Priority",IF(N219&gt;=12,"Active",IF(N219&gt;=8,"Nurture / research","Park"))))</f>
        <v/>
      </c>
      <c r="P219" s="9" t="n"/>
      <c r="Q219" s="9" t="n"/>
      <c r="R219" s="9" t="n"/>
      <c r="S219" s="9" t="n"/>
      <c r="T219" s="9">
        <f>IF(OR(S219="",P219="Won",P219="Lost",P219="Disqualified"),"",IF(TODAY()&gt;S219,TODAY()-S219,0))</f>
        <v/>
      </c>
      <c r="U219" s="9" t="n"/>
      <c r="V219" s="9" t="n"/>
      <c r="W219" s="9" t="n"/>
      <c r="X219" s="9">
        <f>IF(C219="","",IF(COUNTIF($C$4:$C$403,C219)&gt;1,"DUPLICATE",""))</f>
        <v/>
      </c>
      <c r="Y219" s="9" t="n"/>
    </row>
    <row r="220">
      <c r="A220" s="9" t="n"/>
      <c r="B220" s="9" t="n"/>
      <c r="C220" s="9" t="n"/>
      <c r="D220" s="9" t="n"/>
      <c r="E220" s="9" t="n"/>
      <c r="F220" s="9" t="n"/>
      <c r="G220" s="9" t="n"/>
      <c r="H220" s="9" t="n"/>
      <c r="I220" s="9" t="n"/>
      <c r="J220" s="9" t="n"/>
      <c r="K220" s="9" t="n"/>
      <c r="L220" s="9" t="n"/>
      <c r="M220" s="9" t="n"/>
      <c r="N220" s="8">
        <f>IF(COUNT(I220:M220)=5,SUM(I220:M220),"")</f>
        <v/>
      </c>
      <c r="O220" s="9">
        <f>IF(N220="","",IF(N220&gt;=16,"Priority",IF(N220&gt;=12,"Active",IF(N220&gt;=8,"Nurture / research","Park"))))</f>
        <v/>
      </c>
      <c r="P220" s="9" t="n"/>
      <c r="Q220" s="9" t="n"/>
      <c r="R220" s="9" t="n"/>
      <c r="S220" s="9" t="n"/>
      <c r="T220" s="9">
        <f>IF(OR(S220="",P220="Won",P220="Lost",P220="Disqualified"),"",IF(TODAY()&gt;S220,TODAY()-S220,0))</f>
        <v/>
      </c>
      <c r="U220" s="9" t="n"/>
      <c r="V220" s="9" t="n"/>
      <c r="W220" s="9" t="n"/>
      <c r="X220" s="9">
        <f>IF(C220="","",IF(COUNTIF($C$4:$C$403,C220)&gt;1,"DUPLICATE",""))</f>
        <v/>
      </c>
      <c r="Y220" s="9" t="n"/>
    </row>
    <row r="221">
      <c r="A221" s="9" t="n"/>
      <c r="B221" s="9" t="n"/>
      <c r="C221" s="9" t="n"/>
      <c r="D221" s="9" t="n"/>
      <c r="E221" s="9" t="n"/>
      <c r="F221" s="9" t="n"/>
      <c r="G221" s="9" t="n"/>
      <c r="H221" s="9" t="n"/>
      <c r="I221" s="9" t="n"/>
      <c r="J221" s="9" t="n"/>
      <c r="K221" s="9" t="n"/>
      <c r="L221" s="9" t="n"/>
      <c r="M221" s="9" t="n"/>
      <c r="N221" s="8">
        <f>IF(COUNT(I221:M221)=5,SUM(I221:M221),"")</f>
        <v/>
      </c>
      <c r="O221" s="9">
        <f>IF(N221="","",IF(N221&gt;=16,"Priority",IF(N221&gt;=12,"Active",IF(N221&gt;=8,"Nurture / research","Park"))))</f>
        <v/>
      </c>
      <c r="P221" s="9" t="n"/>
      <c r="Q221" s="9" t="n"/>
      <c r="R221" s="9" t="n"/>
      <c r="S221" s="9" t="n"/>
      <c r="T221" s="9">
        <f>IF(OR(S221="",P221="Won",P221="Lost",P221="Disqualified"),"",IF(TODAY()&gt;S221,TODAY()-S221,0))</f>
        <v/>
      </c>
      <c r="U221" s="9" t="n"/>
      <c r="V221" s="9" t="n"/>
      <c r="W221" s="9" t="n"/>
      <c r="X221" s="9">
        <f>IF(C221="","",IF(COUNTIF($C$4:$C$403,C221)&gt;1,"DUPLICATE",""))</f>
        <v/>
      </c>
      <c r="Y221" s="9" t="n"/>
    </row>
    <row r="222">
      <c r="A222" s="9" t="n"/>
      <c r="B222" s="9" t="n"/>
      <c r="C222" s="9" t="n"/>
      <c r="D222" s="9" t="n"/>
      <c r="E222" s="9" t="n"/>
      <c r="F222" s="9" t="n"/>
      <c r="G222" s="9" t="n"/>
      <c r="H222" s="9" t="n"/>
      <c r="I222" s="9" t="n"/>
      <c r="J222" s="9" t="n"/>
      <c r="K222" s="9" t="n"/>
      <c r="L222" s="9" t="n"/>
      <c r="M222" s="9" t="n"/>
      <c r="N222" s="8">
        <f>IF(COUNT(I222:M222)=5,SUM(I222:M222),"")</f>
        <v/>
      </c>
      <c r="O222" s="9">
        <f>IF(N222="","",IF(N222&gt;=16,"Priority",IF(N222&gt;=12,"Active",IF(N222&gt;=8,"Nurture / research","Park"))))</f>
        <v/>
      </c>
      <c r="P222" s="9" t="n"/>
      <c r="Q222" s="9" t="n"/>
      <c r="R222" s="9" t="n"/>
      <c r="S222" s="9" t="n"/>
      <c r="T222" s="9">
        <f>IF(OR(S222="",P222="Won",P222="Lost",P222="Disqualified"),"",IF(TODAY()&gt;S222,TODAY()-S222,0))</f>
        <v/>
      </c>
      <c r="U222" s="9" t="n"/>
      <c r="V222" s="9" t="n"/>
      <c r="W222" s="9" t="n"/>
      <c r="X222" s="9">
        <f>IF(C222="","",IF(COUNTIF($C$4:$C$403,C222)&gt;1,"DUPLICATE",""))</f>
        <v/>
      </c>
      <c r="Y222" s="9" t="n"/>
    </row>
    <row r="223">
      <c r="A223" s="9" t="n"/>
      <c r="B223" s="9" t="n"/>
      <c r="C223" s="9" t="n"/>
      <c r="D223" s="9" t="n"/>
      <c r="E223" s="9" t="n"/>
      <c r="F223" s="9" t="n"/>
      <c r="G223" s="9" t="n"/>
      <c r="H223" s="9" t="n"/>
      <c r="I223" s="9" t="n"/>
      <c r="J223" s="9" t="n"/>
      <c r="K223" s="9" t="n"/>
      <c r="L223" s="9" t="n"/>
      <c r="M223" s="9" t="n"/>
      <c r="N223" s="8">
        <f>IF(COUNT(I223:M223)=5,SUM(I223:M223),"")</f>
        <v/>
      </c>
      <c r="O223" s="9">
        <f>IF(N223="","",IF(N223&gt;=16,"Priority",IF(N223&gt;=12,"Active",IF(N223&gt;=8,"Nurture / research","Park"))))</f>
        <v/>
      </c>
      <c r="P223" s="9" t="n"/>
      <c r="Q223" s="9" t="n"/>
      <c r="R223" s="9" t="n"/>
      <c r="S223" s="9" t="n"/>
      <c r="T223" s="9">
        <f>IF(OR(S223="",P223="Won",P223="Lost",P223="Disqualified"),"",IF(TODAY()&gt;S223,TODAY()-S223,0))</f>
        <v/>
      </c>
      <c r="U223" s="9" t="n"/>
      <c r="V223" s="9" t="n"/>
      <c r="W223" s="9" t="n"/>
      <c r="X223" s="9">
        <f>IF(C223="","",IF(COUNTIF($C$4:$C$403,C223)&gt;1,"DUPLICATE",""))</f>
        <v/>
      </c>
      <c r="Y223" s="9" t="n"/>
    </row>
    <row r="224">
      <c r="A224" s="9" t="n"/>
      <c r="B224" s="9" t="n"/>
      <c r="C224" s="9" t="n"/>
      <c r="D224" s="9" t="n"/>
      <c r="E224" s="9" t="n"/>
      <c r="F224" s="9" t="n"/>
      <c r="G224" s="9" t="n"/>
      <c r="H224" s="9" t="n"/>
      <c r="I224" s="9" t="n"/>
      <c r="J224" s="9" t="n"/>
      <c r="K224" s="9" t="n"/>
      <c r="L224" s="9" t="n"/>
      <c r="M224" s="9" t="n"/>
      <c r="N224" s="8">
        <f>IF(COUNT(I224:M224)=5,SUM(I224:M224),"")</f>
        <v/>
      </c>
      <c r="O224" s="9">
        <f>IF(N224="","",IF(N224&gt;=16,"Priority",IF(N224&gt;=12,"Active",IF(N224&gt;=8,"Nurture / research","Park"))))</f>
        <v/>
      </c>
      <c r="P224" s="9" t="n"/>
      <c r="Q224" s="9" t="n"/>
      <c r="R224" s="9" t="n"/>
      <c r="S224" s="9" t="n"/>
      <c r="T224" s="9">
        <f>IF(OR(S224="",P224="Won",P224="Lost",P224="Disqualified"),"",IF(TODAY()&gt;S224,TODAY()-S224,0))</f>
        <v/>
      </c>
      <c r="U224" s="9" t="n"/>
      <c r="V224" s="9" t="n"/>
      <c r="W224" s="9" t="n"/>
      <c r="X224" s="9">
        <f>IF(C224="","",IF(COUNTIF($C$4:$C$403,C224)&gt;1,"DUPLICATE",""))</f>
        <v/>
      </c>
      <c r="Y224" s="9" t="n"/>
    </row>
    <row r="225">
      <c r="A225" s="9" t="n"/>
      <c r="B225" s="9" t="n"/>
      <c r="C225" s="9" t="n"/>
      <c r="D225" s="9" t="n"/>
      <c r="E225" s="9" t="n"/>
      <c r="F225" s="9" t="n"/>
      <c r="G225" s="9" t="n"/>
      <c r="H225" s="9" t="n"/>
      <c r="I225" s="9" t="n"/>
      <c r="J225" s="9" t="n"/>
      <c r="K225" s="9" t="n"/>
      <c r="L225" s="9" t="n"/>
      <c r="M225" s="9" t="n"/>
      <c r="N225" s="8">
        <f>IF(COUNT(I225:M225)=5,SUM(I225:M225),"")</f>
        <v/>
      </c>
      <c r="O225" s="9">
        <f>IF(N225="","",IF(N225&gt;=16,"Priority",IF(N225&gt;=12,"Active",IF(N225&gt;=8,"Nurture / research","Park"))))</f>
        <v/>
      </c>
      <c r="P225" s="9" t="n"/>
      <c r="Q225" s="9" t="n"/>
      <c r="R225" s="9" t="n"/>
      <c r="S225" s="9" t="n"/>
      <c r="T225" s="9">
        <f>IF(OR(S225="",P225="Won",P225="Lost",P225="Disqualified"),"",IF(TODAY()&gt;S225,TODAY()-S225,0))</f>
        <v/>
      </c>
      <c r="U225" s="9" t="n"/>
      <c r="V225" s="9" t="n"/>
      <c r="W225" s="9" t="n"/>
      <c r="X225" s="9">
        <f>IF(C225="","",IF(COUNTIF($C$4:$C$403,C225)&gt;1,"DUPLICATE",""))</f>
        <v/>
      </c>
      <c r="Y225" s="9" t="n"/>
    </row>
    <row r="226">
      <c r="A226" s="9" t="n"/>
      <c r="B226" s="9" t="n"/>
      <c r="C226" s="9" t="n"/>
      <c r="D226" s="9" t="n"/>
      <c r="E226" s="9" t="n"/>
      <c r="F226" s="9" t="n"/>
      <c r="G226" s="9" t="n"/>
      <c r="H226" s="9" t="n"/>
      <c r="I226" s="9" t="n"/>
      <c r="J226" s="9" t="n"/>
      <c r="K226" s="9" t="n"/>
      <c r="L226" s="9" t="n"/>
      <c r="M226" s="9" t="n"/>
      <c r="N226" s="8">
        <f>IF(COUNT(I226:M226)=5,SUM(I226:M226),"")</f>
        <v/>
      </c>
      <c r="O226" s="9">
        <f>IF(N226="","",IF(N226&gt;=16,"Priority",IF(N226&gt;=12,"Active",IF(N226&gt;=8,"Nurture / research","Park"))))</f>
        <v/>
      </c>
      <c r="P226" s="9" t="n"/>
      <c r="Q226" s="9" t="n"/>
      <c r="R226" s="9" t="n"/>
      <c r="S226" s="9" t="n"/>
      <c r="T226" s="9">
        <f>IF(OR(S226="",P226="Won",P226="Lost",P226="Disqualified"),"",IF(TODAY()&gt;S226,TODAY()-S226,0))</f>
        <v/>
      </c>
      <c r="U226" s="9" t="n"/>
      <c r="V226" s="9" t="n"/>
      <c r="W226" s="9" t="n"/>
      <c r="X226" s="9">
        <f>IF(C226="","",IF(COUNTIF($C$4:$C$403,C226)&gt;1,"DUPLICATE",""))</f>
        <v/>
      </c>
      <c r="Y226" s="9" t="n"/>
    </row>
    <row r="227">
      <c r="A227" s="9" t="n"/>
      <c r="B227" s="9" t="n"/>
      <c r="C227" s="9" t="n"/>
      <c r="D227" s="9" t="n"/>
      <c r="E227" s="9" t="n"/>
      <c r="F227" s="9" t="n"/>
      <c r="G227" s="9" t="n"/>
      <c r="H227" s="9" t="n"/>
      <c r="I227" s="9" t="n"/>
      <c r="J227" s="9" t="n"/>
      <c r="K227" s="9" t="n"/>
      <c r="L227" s="9" t="n"/>
      <c r="M227" s="9" t="n"/>
      <c r="N227" s="8">
        <f>IF(COUNT(I227:M227)=5,SUM(I227:M227),"")</f>
        <v/>
      </c>
      <c r="O227" s="9">
        <f>IF(N227="","",IF(N227&gt;=16,"Priority",IF(N227&gt;=12,"Active",IF(N227&gt;=8,"Nurture / research","Park"))))</f>
        <v/>
      </c>
      <c r="P227" s="9" t="n"/>
      <c r="Q227" s="9" t="n"/>
      <c r="R227" s="9" t="n"/>
      <c r="S227" s="9" t="n"/>
      <c r="T227" s="9">
        <f>IF(OR(S227="",P227="Won",P227="Lost",P227="Disqualified"),"",IF(TODAY()&gt;S227,TODAY()-S227,0))</f>
        <v/>
      </c>
      <c r="U227" s="9" t="n"/>
      <c r="V227" s="9" t="n"/>
      <c r="W227" s="9" t="n"/>
      <c r="X227" s="9">
        <f>IF(C227="","",IF(COUNTIF($C$4:$C$403,C227)&gt;1,"DUPLICATE",""))</f>
        <v/>
      </c>
      <c r="Y227" s="9" t="n"/>
    </row>
    <row r="228">
      <c r="A228" s="9" t="n"/>
      <c r="B228" s="9" t="n"/>
      <c r="C228" s="9" t="n"/>
      <c r="D228" s="9" t="n"/>
      <c r="E228" s="9" t="n"/>
      <c r="F228" s="9" t="n"/>
      <c r="G228" s="9" t="n"/>
      <c r="H228" s="9" t="n"/>
      <c r="I228" s="9" t="n"/>
      <c r="J228" s="9" t="n"/>
      <c r="K228" s="9" t="n"/>
      <c r="L228" s="9" t="n"/>
      <c r="M228" s="9" t="n"/>
      <c r="N228" s="8">
        <f>IF(COUNT(I228:M228)=5,SUM(I228:M228),"")</f>
        <v/>
      </c>
      <c r="O228" s="9">
        <f>IF(N228="","",IF(N228&gt;=16,"Priority",IF(N228&gt;=12,"Active",IF(N228&gt;=8,"Nurture / research","Park"))))</f>
        <v/>
      </c>
      <c r="P228" s="9" t="n"/>
      <c r="Q228" s="9" t="n"/>
      <c r="R228" s="9" t="n"/>
      <c r="S228" s="9" t="n"/>
      <c r="T228" s="9">
        <f>IF(OR(S228="",P228="Won",P228="Lost",P228="Disqualified"),"",IF(TODAY()&gt;S228,TODAY()-S228,0))</f>
        <v/>
      </c>
      <c r="U228" s="9" t="n"/>
      <c r="V228" s="9" t="n"/>
      <c r="W228" s="9" t="n"/>
      <c r="X228" s="9">
        <f>IF(C228="","",IF(COUNTIF($C$4:$C$403,C228)&gt;1,"DUPLICATE",""))</f>
        <v/>
      </c>
      <c r="Y228" s="9" t="n"/>
    </row>
    <row r="229">
      <c r="A229" s="9" t="n"/>
      <c r="B229" s="9" t="n"/>
      <c r="C229" s="9" t="n"/>
      <c r="D229" s="9" t="n"/>
      <c r="E229" s="9" t="n"/>
      <c r="F229" s="9" t="n"/>
      <c r="G229" s="9" t="n"/>
      <c r="H229" s="9" t="n"/>
      <c r="I229" s="9" t="n"/>
      <c r="J229" s="9" t="n"/>
      <c r="K229" s="9" t="n"/>
      <c r="L229" s="9" t="n"/>
      <c r="M229" s="9" t="n"/>
      <c r="N229" s="8">
        <f>IF(COUNT(I229:M229)=5,SUM(I229:M229),"")</f>
        <v/>
      </c>
      <c r="O229" s="9">
        <f>IF(N229="","",IF(N229&gt;=16,"Priority",IF(N229&gt;=12,"Active",IF(N229&gt;=8,"Nurture / research","Park"))))</f>
        <v/>
      </c>
      <c r="P229" s="9" t="n"/>
      <c r="Q229" s="9" t="n"/>
      <c r="R229" s="9" t="n"/>
      <c r="S229" s="9" t="n"/>
      <c r="T229" s="9">
        <f>IF(OR(S229="",P229="Won",P229="Lost",P229="Disqualified"),"",IF(TODAY()&gt;S229,TODAY()-S229,0))</f>
        <v/>
      </c>
      <c r="U229" s="9" t="n"/>
      <c r="V229" s="9" t="n"/>
      <c r="W229" s="9" t="n"/>
      <c r="X229" s="9">
        <f>IF(C229="","",IF(COUNTIF($C$4:$C$403,C229)&gt;1,"DUPLICATE",""))</f>
        <v/>
      </c>
      <c r="Y229" s="9" t="n"/>
    </row>
    <row r="230">
      <c r="A230" s="9" t="n"/>
      <c r="B230" s="9" t="n"/>
      <c r="C230" s="9" t="n"/>
      <c r="D230" s="9" t="n"/>
      <c r="E230" s="9" t="n"/>
      <c r="F230" s="9" t="n"/>
      <c r="G230" s="9" t="n"/>
      <c r="H230" s="9" t="n"/>
      <c r="I230" s="9" t="n"/>
      <c r="J230" s="9" t="n"/>
      <c r="K230" s="9" t="n"/>
      <c r="L230" s="9" t="n"/>
      <c r="M230" s="9" t="n"/>
      <c r="N230" s="8">
        <f>IF(COUNT(I230:M230)=5,SUM(I230:M230),"")</f>
        <v/>
      </c>
      <c r="O230" s="9">
        <f>IF(N230="","",IF(N230&gt;=16,"Priority",IF(N230&gt;=12,"Active",IF(N230&gt;=8,"Nurture / research","Park"))))</f>
        <v/>
      </c>
      <c r="P230" s="9" t="n"/>
      <c r="Q230" s="9" t="n"/>
      <c r="R230" s="9" t="n"/>
      <c r="S230" s="9" t="n"/>
      <c r="T230" s="9">
        <f>IF(OR(S230="",P230="Won",P230="Lost",P230="Disqualified"),"",IF(TODAY()&gt;S230,TODAY()-S230,0))</f>
        <v/>
      </c>
      <c r="U230" s="9" t="n"/>
      <c r="V230" s="9" t="n"/>
      <c r="W230" s="9" t="n"/>
      <c r="X230" s="9">
        <f>IF(C230="","",IF(COUNTIF($C$4:$C$403,C230)&gt;1,"DUPLICATE",""))</f>
        <v/>
      </c>
      <c r="Y230" s="9" t="n"/>
    </row>
    <row r="231">
      <c r="A231" s="9" t="n"/>
      <c r="B231" s="9" t="n"/>
      <c r="C231" s="9" t="n"/>
      <c r="D231" s="9" t="n"/>
      <c r="E231" s="9" t="n"/>
      <c r="F231" s="9" t="n"/>
      <c r="G231" s="9" t="n"/>
      <c r="H231" s="9" t="n"/>
      <c r="I231" s="9" t="n"/>
      <c r="J231" s="9" t="n"/>
      <c r="K231" s="9" t="n"/>
      <c r="L231" s="9" t="n"/>
      <c r="M231" s="9" t="n"/>
      <c r="N231" s="8">
        <f>IF(COUNT(I231:M231)=5,SUM(I231:M231),"")</f>
        <v/>
      </c>
      <c r="O231" s="9">
        <f>IF(N231="","",IF(N231&gt;=16,"Priority",IF(N231&gt;=12,"Active",IF(N231&gt;=8,"Nurture / research","Park"))))</f>
        <v/>
      </c>
      <c r="P231" s="9" t="n"/>
      <c r="Q231" s="9" t="n"/>
      <c r="R231" s="9" t="n"/>
      <c r="S231" s="9" t="n"/>
      <c r="T231" s="9">
        <f>IF(OR(S231="",P231="Won",P231="Lost",P231="Disqualified"),"",IF(TODAY()&gt;S231,TODAY()-S231,0))</f>
        <v/>
      </c>
      <c r="U231" s="9" t="n"/>
      <c r="V231" s="9" t="n"/>
      <c r="W231" s="9" t="n"/>
      <c r="X231" s="9">
        <f>IF(C231="","",IF(COUNTIF($C$4:$C$403,C231)&gt;1,"DUPLICATE",""))</f>
        <v/>
      </c>
      <c r="Y231" s="9" t="n"/>
    </row>
    <row r="232">
      <c r="A232" s="9" t="n"/>
      <c r="B232" s="9" t="n"/>
      <c r="C232" s="9" t="n"/>
      <c r="D232" s="9" t="n"/>
      <c r="E232" s="9" t="n"/>
      <c r="F232" s="9" t="n"/>
      <c r="G232" s="9" t="n"/>
      <c r="H232" s="9" t="n"/>
      <c r="I232" s="9" t="n"/>
      <c r="J232" s="9" t="n"/>
      <c r="K232" s="9" t="n"/>
      <c r="L232" s="9" t="n"/>
      <c r="M232" s="9" t="n"/>
      <c r="N232" s="8">
        <f>IF(COUNT(I232:M232)=5,SUM(I232:M232),"")</f>
        <v/>
      </c>
      <c r="O232" s="9">
        <f>IF(N232="","",IF(N232&gt;=16,"Priority",IF(N232&gt;=12,"Active",IF(N232&gt;=8,"Nurture / research","Park"))))</f>
        <v/>
      </c>
      <c r="P232" s="9" t="n"/>
      <c r="Q232" s="9" t="n"/>
      <c r="R232" s="9" t="n"/>
      <c r="S232" s="9" t="n"/>
      <c r="T232" s="9">
        <f>IF(OR(S232="",P232="Won",P232="Lost",P232="Disqualified"),"",IF(TODAY()&gt;S232,TODAY()-S232,0))</f>
        <v/>
      </c>
      <c r="U232" s="9" t="n"/>
      <c r="V232" s="9" t="n"/>
      <c r="W232" s="9" t="n"/>
      <c r="X232" s="9">
        <f>IF(C232="","",IF(COUNTIF($C$4:$C$403,C232)&gt;1,"DUPLICATE",""))</f>
        <v/>
      </c>
      <c r="Y232" s="9" t="n"/>
    </row>
    <row r="233">
      <c r="A233" s="9" t="n"/>
      <c r="B233" s="9" t="n"/>
      <c r="C233" s="9" t="n"/>
      <c r="D233" s="9" t="n"/>
      <c r="E233" s="9" t="n"/>
      <c r="F233" s="9" t="n"/>
      <c r="G233" s="9" t="n"/>
      <c r="H233" s="9" t="n"/>
      <c r="I233" s="9" t="n"/>
      <c r="J233" s="9" t="n"/>
      <c r="K233" s="9" t="n"/>
      <c r="L233" s="9" t="n"/>
      <c r="M233" s="9" t="n"/>
      <c r="N233" s="8">
        <f>IF(COUNT(I233:M233)=5,SUM(I233:M233),"")</f>
        <v/>
      </c>
      <c r="O233" s="9">
        <f>IF(N233="","",IF(N233&gt;=16,"Priority",IF(N233&gt;=12,"Active",IF(N233&gt;=8,"Nurture / research","Park"))))</f>
        <v/>
      </c>
      <c r="P233" s="9" t="n"/>
      <c r="Q233" s="9" t="n"/>
      <c r="R233" s="9" t="n"/>
      <c r="S233" s="9" t="n"/>
      <c r="T233" s="9">
        <f>IF(OR(S233="",P233="Won",P233="Lost",P233="Disqualified"),"",IF(TODAY()&gt;S233,TODAY()-S233,0))</f>
        <v/>
      </c>
      <c r="U233" s="9" t="n"/>
      <c r="V233" s="9" t="n"/>
      <c r="W233" s="9" t="n"/>
      <c r="X233" s="9">
        <f>IF(C233="","",IF(COUNTIF($C$4:$C$403,C233)&gt;1,"DUPLICATE",""))</f>
        <v/>
      </c>
      <c r="Y233" s="9" t="n"/>
    </row>
    <row r="234">
      <c r="A234" s="9" t="n"/>
      <c r="B234" s="9" t="n"/>
      <c r="C234" s="9" t="n"/>
      <c r="D234" s="9" t="n"/>
      <c r="E234" s="9" t="n"/>
      <c r="F234" s="9" t="n"/>
      <c r="G234" s="9" t="n"/>
      <c r="H234" s="9" t="n"/>
      <c r="I234" s="9" t="n"/>
      <c r="J234" s="9" t="n"/>
      <c r="K234" s="9" t="n"/>
      <c r="L234" s="9" t="n"/>
      <c r="M234" s="9" t="n"/>
      <c r="N234" s="8">
        <f>IF(COUNT(I234:M234)=5,SUM(I234:M234),"")</f>
        <v/>
      </c>
      <c r="O234" s="9">
        <f>IF(N234="","",IF(N234&gt;=16,"Priority",IF(N234&gt;=12,"Active",IF(N234&gt;=8,"Nurture / research","Park"))))</f>
        <v/>
      </c>
      <c r="P234" s="9" t="n"/>
      <c r="Q234" s="9" t="n"/>
      <c r="R234" s="9" t="n"/>
      <c r="S234" s="9" t="n"/>
      <c r="T234" s="9">
        <f>IF(OR(S234="",P234="Won",P234="Lost",P234="Disqualified"),"",IF(TODAY()&gt;S234,TODAY()-S234,0))</f>
        <v/>
      </c>
      <c r="U234" s="9" t="n"/>
      <c r="V234" s="9" t="n"/>
      <c r="W234" s="9" t="n"/>
      <c r="X234" s="9">
        <f>IF(C234="","",IF(COUNTIF($C$4:$C$403,C234)&gt;1,"DUPLICATE",""))</f>
        <v/>
      </c>
      <c r="Y234" s="9" t="n"/>
    </row>
    <row r="235">
      <c r="A235" s="9" t="n"/>
      <c r="B235" s="9" t="n"/>
      <c r="C235" s="9" t="n"/>
      <c r="D235" s="9" t="n"/>
      <c r="E235" s="9" t="n"/>
      <c r="F235" s="9" t="n"/>
      <c r="G235" s="9" t="n"/>
      <c r="H235" s="9" t="n"/>
      <c r="I235" s="9" t="n"/>
      <c r="J235" s="9" t="n"/>
      <c r="K235" s="9" t="n"/>
      <c r="L235" s="9" t="n"/>
      <c r="M235" s="9" t="n"/>
      <c r="N235" s="8">
        <f>IF(COUNT(I235:M235)=5,SUM(I235:M235),"")</f>
        <v/>
      </c>
      <c r="O235" s="9">
        <f>IF(N235="","",IF(N235&gt;=16,"Priority",IF(N235&gt;=12,"Active",IF(N235&gt;=8,"Nurture / research","Park"))))</f>
        <v/>
      </c>
      <c r="P235" s="9" t="n"/>
      <c r="Q235" s="9" t="n"/>
      <c r="R235" s="9" t="n"/>
      <c r="S235" s="9" t="n"/>
      <c r="T235" s="9">
        <f>IF(OR(S235="",P235="Won",P235="Lost",P235="Disqualified"),"",IF(TODAY()&gt;S235,TODAY()-S235,0))</f>
        <v/>
      </c>
      <c r="U235" s="9" t="n"/>
      <c r="V235" s="9" t="n"/>
      <c r="W235" s="9" t="n"/>
      <c r="X235" s="9">
        <f>IF(C235="","",IF(COUNTIF($C$4:$C$403,C235)&gt;1,"DUPLICATE",""))</f>
        <v/>
      </c>
      <c r="Y235" s="9" t="n"/>
    </row>
    <row r="236">
      <c r="A236" s="9" t="n"/>
      <c r="B236" s="9" t="n"/>
      <c r="C236" s="9" t="n"/>
      <c r="D236" s="9" t="n"/>
      <c r="E236" s="9" t="n"/>
      <c r="F236" s="9" t="n"/>
      <c r="G236" s="9" t="n"/>
      <c r="H236" s="9" t="n"/>
      <c r="I236" s="9" t="n"/>
      <c r="J236" s="9" t="n"/>
      <c r="K236" s="9" t="n"/>
      <c r="L236" s="9" t="n"/>
      <c r="M236" s="9" t="n"/>
      <c r="N236" s="8">
        <f>IF(COUNT(I236:M236)=5,SUM(I236:M236),"")</f>
        <v/>
      </c>
      <c r="O236" s="9">
        <f>IF(N236="","",IF(N236&gt;=16,"Priority",IF(N236&gt;=12,"Active",IF(N236&gt;=8,"Nurture / research","Park"))))</f>
        <v/>
      </c>
      <c r="P236" s="9" t="n"/>
      <c r="Q236" s="9" t="n"/>
      <c r="R236" s="9" t="n"/>
      <c r="S236" s="9" t="n"/>
      <c r="T236" s="9">
        <f>IF(OR(S236="",P236="Won",P236="Lost",P236="Disqualified"),"",IF(TODAY()&gt;S236,TODAY()-S236,0))</f>
        <v/>
      </c>
      <c r="U236" s="9" t="n"/>
      <c r="V236" s="9" t="n"/>
      <c r="W236" s="9" t="n"/>
      <c r="X236" s="9">
        <f>IF(C236="","",IF(COUNTIF($C$4:$C$403,C236)&gt;1,"DUPLICATE",""))</f>
        <v/>
      </c>
      <c r="Y236" s="9" t="n"/>
    </row>
    <row r="237">
      <c r="A237" s="9" t="n"/>
      <c r="B237" s="9" t="n"/>
      <c r="C237" s="9" t="n"/>
      <c r="D237" s="9" t="n"/>
      <c r="E237" s="9" t="n"/>
      <c r="F237" s="9" t="n"/>
      <c r="G237" s="9" t="n"/>
      <c r="H237" s="9" t="n"/>
      <c r="I237" s="9" t="n"/>
      <c r="J237" s="9" t="n"/>
      <c r="K237" s="9" t="n"/>
      <c r="L237" s="9" t="n"/>
      <c r="M237" s="9" t="n"/>
      <c r="N237" s="8">
        <f>IF(COUNT(I237:M237)=5,SUM(I237:M237),"")</f>
        <v/>
      </c>
      <c r="O237" s="9">
        <f>IF(N237="","",IF(N237&gt;=16,"Priority",IF(N237&gt;=12,"Active",IF(N237&gt;=8,"Nurture / research","Park"))))</f>
        <v/>
      </c>
      <c r="P237" s="9" t="n"/>
      <c r="Q237" s="9" t="n"/>
      <c r="R237" s="9" t="n"/>
      <c r="S237" s="9" t="n"/>
      <c r="T237" s="9">
        <f>IF(OR(S237="",P237="Won",P237="Lost",P237="Disqualified"),"",IF(TODAY()&gt;S237,TODAY()-S237,0))</f>
        <v/>
      </c>
      <c r="U237" s="9" t="n"/>
      <c r="V237" s="9" t="n"/>
      <c r="W237" s="9" t="n"/>
      <c r="X237" s="9">
        <f>IF(C237="","",IF(COUNTIF($C$4:$C$403,C237)&gt;1,"DUPLICATE",""))</f>
        <v/>
      </c>
      <c r="Y237" s="9" t="n"/>
    </row>
    <row r="238">
      <c r="A238" s="9" t="n"/>
      <c r="B238" s="9" t="n"/>
      <c r="C238" s="9" t="n"/>
      <c r="D238" s="9" t="n"/>
      <c r="E238" s="9" t="n"/>
      <c r="F238" s="9" t="n"/>
      <c r="G238" s="9" t="n"/>
      <c r="H238" s="9" t="n"/>
      <c r="I238" s="9" t="n"/>
      <c r="J238" s="9" t="n"/>
      <c r="K238" s="9" t="n"/>
      <c r="L238" s="9" t="n"/>
      <c r="M238" s="9" t="n"/>
      <c r="N238" s="8">
        <f>IF(COUNT(I238:M238)=5,SUM(I238:M238),"")</f>
        <v/>
      </c>
      <c r="O238" s="9">
        <f>IF(N238="","",IF(N238&gt;=16,"Priority",IF(N238&gt;=12,"Active",IF(N238&gt;=8,"Nurture / research","Park"))))</f>
        <v/>
      </c>
      <c r="P238" s="9" t="n"/>
      <c r="Q238" s="9" t="n"/>
      <c r="R238" s="9" t="n"/>
      <c r="S238" s="9" t="n"/>
      <c r="T238" s="9">
        <f>IF(OR(S238="",P238="Won",P238="Lost",P238="Disqualified"),"",IF(TODAY()&gt;S238,TODAY()-S238,0))</f>
        <v/>
      </c>
      <c r="U238" s="9" t="n"/>
      <c r="V238" s="9" t="n"/>
      <c r="W238" s="9" t="n"/>
      <c r="X238" s="9">
        <f>IF(C238="","",IF(COUNTIF($C$4:$C$403,C238)&gt;1,"DUPLICATE",""))</f>
        <v/>
      </c>
      <c r="Y238" s="9" t="n"/>
    </row>
    <row r="239">
      <c r="A239" s="9" t="n"/>
      <c r="B239" s="9" t="n"/>
      <c r="C239" s="9" t="n"/>
      <c r="D239" s="9" t="n"/>
      <c r="E239" s="9" t="n"/>
      <c r="F239" s="9" t="n"/>
      <c r="G239" s="9" t="n"/>
      <c r="H239" s="9" t="n"/>
      <c r="I239" s="9" t="n"/>
      <c r="J239" s="9" t="n"/>
      <c r="K239" s="9" t="n"/>
      <c r="L239" s="9" t="n"/>
      <c r="M239" s="9" t="n"/>
      <c r="N239" s="8">
        <f>IF(COUNT(I239:M239)=5,SUM(I239:M239),"")</f>
        <v/>
      </c>
      <c r="O239" s="9">
        <f>IF(N239="","",IF(N239&gt;=16,"Priority",IF(N239&gt;=12,"Active",IF(N239&gt;=8,"Nurture / research","Park"))))</f>
        <v/>
      </c>
      <c r="P239" s="9" t="n"/>
      <c r="Q239" s="9" t="n"/>
      <c r="R239" s="9" t="n"/>
      <c r="S239" s="9" t="n"/>
      <c r="T239" s="9">
        <f>IF(OR(S239="",P239="Won",P239="Lost",P239="Disqualified"),"",IF(TODAY()&gt;S239,TODAY()-S239,0))</f>
        <v/>
      </c>
      <c r="U239" s="9" t="n"/>
      <c r="V239" s="9" t="n"/>
      <c r="W239" s="9" t="n"/>
      <c r="X239" s="9">
        <f>IF(C239="","",IF(COUNTIF($C$4:$C$403,C239)&gt;1,"DUPLICATE",""))</f>
        <v/>
      </c>
      <c r="Y239" s="9" t="n"/>
    </row>
    <row r="240">
      <c r="A240" s="9" t="n"/>
      <c r="B240" s="9" t="n"/>
      <c r="C240" s="9" t="n"/>
      <c r="D240" s="9" t="n"/>
      <c r="E240" s="9" t="n"/>
      <c r="F240" s="9" t="n"/>
      <c r="G240" s="9" t="n"/>
      <c r="H240" s="9" t="n"/>
      <c r="I240" s="9" t="n"/>
      <c r="J240" s="9" t="n"/>
      <c r="K240" s="9" t="n"/>
      <c r="L240" s="9" t="n"/>
      <c r="M240" s="9" t="n"/>
      <c r="N240" s="8">
        <f>IF(COUNT(I240:M240)=5,SUM(I240:M240),"")</f>
        <v/>
      </c>
      <c r="O240" s="9">
        <f>IF(N240="","",IF(N240&gt;=16,"Priority",IF(N240&gt;=12,"Active",IF(N240&gt;=8,"Nurture / research","Park"))))</f>
        <v/>
      </c>
      <c r="P240" s="9" t="n"/>
      <c r="Q240" s="9" t="n"/>
      <c r="R240" s="9" t="n"/>
      <c r="S240" s="9" t="n"/>
      <c r="T240" s="9">
        <f>IF(OR(S240="",P240="Won",P240="Lost",P240="Disqualified"),"",IF(TODAY()&gt;S240,TODAY()-S240,0))</f>
        <v/>
      </c>
      <c r="U240" s="9" t="n"/>
      <c r="V240" s="9" t="n"/>
      <c r="W240" s="9" t="n"/>
      <c r="X240" s="9">
        <f>IF(C240="","",IF(COUNTIF($C$4:$C$403,C240)&gt;1,"DUPLICATE",""))</f>
        <v/>
      </c>
      <c r="Y240" s="9" t="n"/>
    </row>
    <row r="241">
      <c r="A241" s="9" t="n"/>
      <c r="B241" s="9" t="n"/>
      <c r="C241" s="9" t="n"/>
      <c r="D241" s="9" t="n"/>
      <c r="E241" s="9" t="n"/>
      <c r="F241" s="9" t="n"/>
      <c r="G241" s="9" t="n"/>
      <c r="H241" s="9" t="n"/>
      <c r="I241" s="9" t="n"/>
      <c r="J241" s="9" t="n"/>
      <c r="K241" s="9" t="n"/>
      <c r="L241" s="9" t="n"/>
      <c r="M241" s="9" t="n"/>
      <c r="N241" s="8">
        <f>IF(COUNT(I241:M241)=5,SUM(I241:M241),"")</f>
        <v/>
      </c>
      <c r="O241" s="9">
        <f>IF(N241="","",IF(N241&gt;=16,"Priority",IF(N241&gt;=12,"Active",IF(N241&gt;=8,"Nurture / research","Park"))))</f>
        <v/>
      </c>
      <c r="P241" s="9" t="n"/>
      <c r="Q241" s="9" t="n"/>
      <c r="R241" s="9" t="n"/>
      <c r="S241" s="9" t="n"/>
      <c r="T241" s="9">
        <f>IF(OR(S241="",P241="Won",P241="Lost",P241="Disqualified"),"",IF(TODAY()&gt;S241,TODAY()-S241,0))</f>
        <v/>
      </c>
      <c r="U241" s="9" t="n"/>
      <c r="V241" s="9" t="n"/>
      <c r="W241" s="9" t="n"/>
      <c r="X241" s="9">
        <f>IF(C241="","",IF(COUNTIF($C$4:$C$403,C241)&gt;1,"DUPLICATE",""))</f>
        <v/>
      </c>
      <c r="Y241" s="9" t="n"/>
    </row>
    <row r="242">
      <c r="A242" s="9" t="n"/>
      <c r="B242" s="9" t="n"/>
      <c r="C242" s="9" t="n"/>
      <c r="D242" s="9" t="n"/>
      <c r="E242" s="9" t="n"/>
      <c r="F242" s="9" t="n"/>
      <c r="G242" s="9" t="n"/>
      <c r="H242" s="9" t="n"/>
      <c r="I242" s="9" t="n"/>
      <c r="J242" s="9" t="n"/>
      <c r="K242" s="9" t="n"/>
      <c r="L242" s="9" t="n"/>
      <c r="M242" s="9" t="n"/>
      <c r="N242" s="8">
        <f>IF(COUNT(I242:M242)=5,SUM(I242:M242),"")</f>
        <v/>
      </c>
      <c r="O242" s="9">
        <f>IF(N242="","",IF(N242&gt;=16,"Priority",IF(N242&gt;=12,"Active",IF(N242&gt;=8,"Nurture / research","Park"))))</f>
        <v/>
      </c>
      <c r="P242" s="9" t="n"/>
      <c r="Q242" s="9" t="n"/>
      <c r="R242" s="9" t="n"/>
      <c r="S242" s="9" t="n"/>
      <c r="T242" s="9">
        <f>IF(OR(S242="",P242="Won",P242="Lost",P242="Disqualified"),"",IF(TODAY()&gt;S242,TODAY()-S242,0))</f>
        <v/>
      </c>
      <c r="U242" s="9" t="n"/>
      <c r="V242" s="9" t="n"/>
      <c r="W242" s="9" t="n"/>
      <c r="X242" s="9">
        <f>IF(C242="","",IF(COUNTIF($C$4:$C$403,C242)&gt;1,"DUPLICATE",""))</f>
        <v/>
      </c>
      <c r="Y242" s="9" t="n"/>
    </row>
    <row r="243">
      <c r="A243" s="9" t="n"/>
      <c r="B243" s="9" t="n"/>
      <c r="C243" s="9" t="n"/>
      <c r="D243" s="9" t="n"/>
      <c r="E243" s="9" t="n"/>
      <c r="F243" s="9" t="n"/>
      <c r="G243" s="9" t="n"/>
      <c r="H243" s="9" t="n"/>
      <c r="I243" s="9" t="n"/>
      <c r="J243" s="9" t="n"/>
      <c r="K243" s="9" t="n"/>
      <c r="L243" s="9" t="n"/>
      <c r="M243" s="9" t="n"/>
      <c r="N243" s="8">
        <f>IF(COUNT(I243:M243)=5,SUM(I243:M243),"")</f>
        <v/>
      </c>
      <c r="O243" s="9">
        <f>IF(N243="","",IF(N243&gt;=16,"Priority",IF(N243&gt;=12,"Active",IF(N243&gt;=8,"Nurture / research","Park"))))</f>
        <v/>
      </c>
      <c r="P243" s="9" t="n"/>
      <c r="Q243" s="9" t="n"/>
      <c r="R243" s="9" t="n"/>
      <c r="S243" s="9" t="n"/>
      <c r="T243" s="9">
        <f>IF(OR(S243="",P243="Won",P243="Lost",P243="Disqualified"),"",IF(TODAY()&gt;S243,TODAY()-S243,0))</f>
        <v/>
      </c>
      <c r="U243" s="9" t="n"/>
      <c r="V243" s="9" t="n"/>
      <c r="W243" s="9" t="n"/>
      <c r="X243" s="9">
        <f>IF(C243="","",IF(COUNTIF($C$4:$C$403,C243)&gt;1,"DUPLICATE",""))</f>
        <v/>
      </c>
      <c r="Y243" s="9" t="n"/>
    </row>
    <row r="244">
      <c r="A244" s="9" t="n"/>
      <c r="B244" s="9" t="n"/>
      <c r="C244" s="9" t="n"/>
      <c r="D244" s="9" t="n"/>
      <c r="E244" s="9" t="n"/>
      <c r="F244" s="9" t="n"/>
      <c r="G244" s="9" t="n"/>
      <c r="H244" s="9" t="n"/>
      <c r="I244" s="9" t="n"/>
      <c r="J244" s="9" t="n"/>
      <c r="K244" s="9" t="n"/>
      <c r="L244" s="9" t="n"/>
      <c r="M244" s="9" t="n"/>
      <c r="N244" s="8">
        <f>IF(COUNT(I244:M244)=5,SUM(I244:M244),"")</f>
        <v/>
      </c>
      <c r="O244" s="9">
        <f>IF(N244="","",IF(N244&gt;=16,"Priority",IF(N244&gt;=12,"Active",IF(N244&gt;=8,"Nurture / research","Park"))))</f>
        <v/>
      </c>
      <c r="P244" s="9" t="n"/>
      <c r="Q244" s="9" t="n"/>
      <c r="R244" s="9" t="n"/>
      <c r="S244" s="9" t="n"/>
      <c r="T244" s="9">
        <f>IF(OR(S244="",P244="Won",P244="Lost",P244="Disqualified"),"",IF(TODAY()&gt;S244,TODAY()-S244,0))</f>
        <v/>
      </c>
      <c r="U244" s="9" t="n"/>
      <c r="V244" s="9" t="n"/>
      <c r="W244" s="9" t="n"/>
      <c r="X244" s="9">
        <f>IF(C244="","",IF(COUNTIF($C$4:$C$403,C244)&gt;1,"DUPLICATE",""))</f>
        <v/>
      </c>
      <c r="Y244" s="9" t="n"/>
    </row>
    <row r="245">
      <c r="A245" s="9" t="n"/>
      <c r="B245" s="9" t="n"/>
      <c r="C245" s="9" t="n"/>
      <c r="D245" s="9" t="n"/>
      <c r="E245" s="9" t="n"/>
      <c r="F245" s="9" t="n"/>
      <c r="G245" s="9" t="n"/>
      <c r="H245" s="9" t="n"/>
      <c r="I245" s="9" t="n"/>
      <c r="J245" s="9" t="n"/>
      <c r="K245" s="9" t="n"/>
      <c r="L245" s="9" t="n"/>
      <c r="M245" s="9" t="n"/>
      <c r="N245" s="8">
        <f>IF(COUNT(I245:M245)=5,SUM(I245:M245),"")</f>
        <v/>
      </c>
      <c r="O245" s="9">
        <f>IF(N245="","",IF(N245&gt;=16,"Priority",IF(N245&gt;=12,"Active",IF(N245&gt;=8,"Nurture / research","Park"))))</f>
        <v/>
      </c>
      <c r="P245" s="9" t="n"/>
      <c r="Q245" s="9" t="n"/>
      <c r="R245" s="9" t="n"/>
      <c r="S245" s="9" t="n"/>
      <c r="T245" s="9">
        <f>IF(OR(S245="",P245="Won",P245="Lost",P245="Disqualified"),"",IF(TODAY()&gt;S245,TODAY()-S245,0))</f>
        <v/>
      </c>
      <c r="U245" s="9" t="n"/>
      <c r="V245" s="9" t="n"/>
      <c r="W245" s="9" t="n"/>
      <c r="X245" s="9">
        <f>IF(C245="","",IF(COUNTIF($C$4:$C$403,C245)&gt;1,"DUPLICATE",""))</f>
        <v/>
      </c>
      <c r="Y245" s="9" t="n"/>
    </row>
    <row r="246">
      <c r="A246" s="9" t="n"/>
      <c r="B246" s="9" t="n"/>
      <c r="C246" s="9" t="n"/>
      <c r="D246" s="9" t="n"/>
      <c r="E246" s="9" t="n"/>
      <c r="F246" s="9" t="n"/>
      <c r="G246" s="9" t="n"/>
      <c r="H246" s="9" t="n"/>
      <c r="I246" s="9" t="n"/>
      <c r="J246" s="9" t="n"/>
      <c r="K246" s="9" t="n"/>
      <c r="L246" s="9" t="n"/>
      <c r="M246" s="9" t="n"/>
      <c r="N246" s="8">
        <f>IF(COUNT(I246:M246)=5,SUM(I246:M246),"")</f>
        <v/>
      </c>
      <c r="O246" s="9">
        <f>IF(N246="","",IF(N246&gt;=16,"Priority",IF(N246&gt;=12,"Active",IF(N246&gt;=8,"Nurture / research","Park"))))</f>
        <v/>
      </c>
      <c r="P246" s="9" t="n"/>
      <c r="Q246" s="9" t="n"/>
      <c r="R246" s="9" t="n"/>
      <c r="S246" s="9" t="n"/>
      <c r="T246" s="9">
        <f>IF(OR(S246="",P246="Won",P246="Lost",P246="Disqualified"),"",IF(TODAY()&gt;S246,TODAY()-S246,0))</f>
        <v/>
      </c>
      <c r="U246" s="9" t="n"/>
      <c r="V246" s="9" t="n"/>
      <c r="W246" s="9" t="n"/>
      <c r="X246" s="9">
        <f>IF(C246="","",IF(COUNTIF($C$4:$C$403,C246)&gt;1,"DUPLICATE",""))</f>
        <v/>
      </c>
      <c r="Y246" s="9" t="n"/>
    </row>
    <row r="247">
      <c r="A247" s="9" t="n"/>
      <c r="B247" s="9" t="n"/>
      <c r="C247" s="9" t="n"/>
      <c r="D247" s="9" t="n"/>
      <c r="E247" s="9" t="n"/>
      <c r="F247" s="9" t="n"/>
      <c r="G247" s="9" t="n"/>
      <c r="H247" s="9" t="n"/>
      <c r="I247" s="9" t="n"/>
      <c r="J247" s="9" t="n"/>
      <c r="K247" s="9" t="n"/>
      <c r="L247" s="9" t="n"/>
      <c r="M247" s="9" t="n"/>
      <c r="N247" s="8">
        <f>IF(COUNT(I247:M247)=5,SUM(I247:M247),"")</f>
        <v/>
      </c>
      <c r="O247" s="9">
        <f>IF(N247="","",IF(N247&gt;=16,"Priority",IF(N247&gt;=12,"Active",IF(N247&gt;=8,"Nurture / research","Park"))))</f>
        <v/>
      </c>
      <c r="P247" s="9" t="n"/>
      <c r="Q247" s="9" t="n"/>
      <c r="R247" s="9" t="n"/>
      <c r="S247" s="9" t="n"/>
      <c r="T247" s="9">
        <f>IF(OR(S247="",P247="Won",P247="Lost",P247="Disqualified"),"",IF(TODAY()&gt;S247,TODAY()-S247,0))</f>
        <v/>
      </c>
      <c r="U247" s="9" t="n"/>
      <c r="V247" s="9" t="n"/>
      <c r="W247" s="9" t="n"/>
      <c r="X247" s="9">
        <f>IF(C247="","",IF(COUNTIF($C$4:$C$403,C247)&gt;1,"DUPLICATE",""))</f>
        <v/>
      </c>
      <c r="Y247" s="9" t="n"/>
    </row>
    <row r="248">
      <c r="A248" s="9" t="n"/>
      <c r="B248" s="9" t="n"/>
      <c r="C248" s="9" t="n"/>
      <c r="D248" s="9" t="n"/>
      <c r="E248" s="9" t="n"/>
      <c r="F248" s="9" t="n"/>
      <c r="G248" s="9" t="n"/>
      <c r="H248" s="9" t="n"/>
      <c r="I248" s="9" t="n"/>
      <c r="J248" s="9" t="n"/>
      <c r="K248" s="9" t="n"/>
      <c r="L248" s="9" t="n"/>
      <c r="M248" s="9" t="n"/>
      <c r="N248" s="8">
        <f>IF(COUNT(I248:M248)=5,SUM(I248:M248),"")</f>
        <v/>
      </c>
      <c r="O248" s="9">
        <f>IF(N248="","",IF(N248&gt;=16,"Priority",IF(N248&gt;=12,"Active",IF(N248&gt;=8,"Nurture / research","Park"))))</f>
        <v/>
      </c>
      <c r="P248" s="9" t="n"/>
      <c r="Q248" s="9" t="n"/>
      <c r="R248" s="9" t="n"/>
      <c r="S248" s="9" t="n"/>
      <c r="T248" s="9">
        <f>IF(OR(S248="",P248="Won",P248="Lost",P248="Disqualified"),"",IF(TODAY()&gt;S248,TODAY()-S248,0))</f>
        <v/>
      </c>
      <c r="U248" s="9" t="n"/>
      <c r="V248" s="9" t="n"/>
      <c r="W248" s="9" t="n"/>
      <c r="X248" s="9">
        <f>IF(C248="","",IF(COUNTIF($C$4:$C$403,C248)&gt;1,"DUPLICATE",""))</f>
        <v/>
      </c>
      <c r="Y248" s="9" t="n"/>
    </row>
    <row r="249">
      <c r="A249" s="9" t="n"/>
      <c r="B249" s="9" t="n"/>
      <c r="C249" s="9" t="n"/>
      <c r="D249" s="9" t="n"/>
      <c r="E249" s="9" t="n"/>
      <c r="F249" s="9" t="n"/>
      <c r="G249" s="9" t="n"/>
      <c r="H249" s="9" t="n"/>
      <c r="I249" s="9" t="n"/>
      <c r="J249" s="9" t="n"/>
      <c r="K249" s="9" t="n"/>
      <c r="L249" s="9" t="n"/>
      <c r="M249" s="9" t="n"/>
      <c r="N249" s="8">
        <f>IF(COUNT(I249:M249)=5,SUM(I249:M249),"")</f>
        <v/>
      </c>
      <c r="O249" s="9">
        <f>IF(N249="","",IF(N249&gt;=16,"Priority",IF(N249&gt;=12,"Active",IF(N249&gt;=8,"Nurture / research","Park"))))</f>
        <v/>
      </c>
      <c r="P249" s="9" t="n"/>
      <c r="Q249" s="9" t="n"/>
      <c r="R249" s="9" t="n"/>
      <c r="S249" s="9" t="n"/>
      <c r="T249" s="9">
        <f>IF(OR(S249="",P249="Won",P249="Lost",P249="Disqualified"),"",IF(TODAY()&gt;S249,TODAY()-S249,0))</f>
        <v/>
      </c>
      <c r="U249" s="9" t="n"/>
      <c r="V249" s="9" t="n"/>
      <c r="W249" s="9" t="n"/>
      <c r="X249" s="9">
        <f>IF(C249="","",IF(COUNTIF($C$4:$C$403,C249)&gt;1,"DUPLICATE",""))</f>
        <v/>
      </c>
      <c r="Y249" s="9" t="n"/>
    </row>
    <row r="250">
      <c r="A250" s="9" t="n"/>
      <c r="B250" s="9" t="n"/>
      <c r="C250" s="9" t="n"/>
      <c r="D250" s="9" t="n"/>
      <c r="E250" s="9" t="n"/>
      <c r="F250" s="9" t="n"/>
      <c r="G250" s="9" t="n"/>
      <c r="H250" s="9" t="n"/>
      <c r="I250" s="9" t="n"/>
      <c r="J250" s="9" t="n"/>
      <c r="K250" s="9" t="n"/>
      <c r="L250" s="9" t="n"/>
      <c r="M250" s="9" t="n"/>
      <c r="N250" s="8">
        <f>IF(COUNT(I250:M250)=5,SUM(I250:M250),"")</f>
        <v/>
      </c>
      <c r="O250" s="9">
        <f>IF(N250="","",IF(N250&gt;=16,"Priority",IF(N250&gt;=12,"Active",IF(N250&gt;=8,"Nurture / research","Park"))))</f>
        <v/>
      </c>
      <c r="P250" s="9" t="n"/>
      <c r="Q250" s="9" t="n"/>
      <c r="R250" s="9" t="n"/>
      <c r="S250" s="9" t="n"/>
      <c r="T250" s="9">
        <f>IF(OR(S250="",P250="Won",P250="Lost",P250="Disqualified"),"",IF(TODAY()&gt;S250,TODAY()-S250,0))</f>
        <v/>
      </c>
      <c r="U250" s="9" t="n"/>
      <c r="V250" s="9" t="n"/>
      <c r="W250" s="9" t="n"/>
      <c r="X250" s="9">
        <f>IF(C250="","",IF(COUNTIF($C$4:$C$403,C250)&gt;1,"DUPLICATE",""))</f>
        <v/>
      </c>
      <c r="Y250" s="9" t="n"/>
    </row>
    <row r="251">
      <c r="A251" s="9" t="n"/>
      <c r="B251" s="9" t="n"/>
      <c r="C251" s="9" t="n"/>
      <c r="D251" s="9" t="n"/>
      <c r="E251" s="9" t="n"/>
      <c r="F251" s="9" t="n"/>
      <c r="G251" s="9" t="n"/>
      <c r="H251" s="9" t="n"/>
      <c r="I251" s="9" t="n"/>
      <c r="J251" s="9" t="n"/>
      <c r="K251" s="9" t="n"/>
      <c r="L251" s="9" t="n"/>
      <c r="M251" s="9" t="n"/>
      <c r="N251" s="8">
        <f>IF(COUNT(I251:M251)=5,SUM(I251:M251),"")</f>
        <v/>
      </c>
      <c r="O251" s="9">
        <f>IF(N251="","",IF(N251&gt;=16,"Priority",IF(N251&gt;=12,"Active",IF(N251&gt;=8,"Nurture / research","Park"))))</f>
        <v/>
      </c>
      <c r="P251" s="9" t="n"/>
      <c r="Q251" s="9" t="n"/>
      <c r="R251" s="9" t="n"/>
      <c r="S251" s="9" t="n"/>
      <c r="T251" s="9">
        <f>IF(OR(S251="",P251="Won",P251="Lost",P251="Disqualified"),"",IF(TODAY()&gt;S251,TODAY()-S251,0))</f>
        <v/>
      </c>
      <c r="U251" s="9" t="n"/>
      <c r="V251" s="9" t="n"/>
      <c r="W251" s="9" t="n"/>
      <c r="X251" s="9">
        <f>IF(C251="","",IF(COUNTIF($C$4:$C$403,C251)&gt;1,"DUPLICATE",""))</f>
        <v/>
      </c>
      <c r="Y251" s="9" t="n"/>
    </row>
    <row r="252">
      <c r="A252" s="9" t="n"/>
      <c r="B252" s="9" t="n"/>
      <c r="C252" s="9" t="n"/>
      <c r="D252" s="9" t="n"/>
      <c r="E252" s="9" t="n"/>
      <c r="F252" s="9" t="n"/>
      <c r="G252" s="9" t="n"/>
      <c r="H252" s="9" t="n"/>
      <c r="I252" s="9" t="n"/>
      <c r="J252" s="9" t="n"/>
      <c r="K252" s="9" t="n"/>
      <c r="L252" s="9" t="n"/>
      <c r="M252" s="9" t="n"/>
      <c r="N252" s="8">
        <f>IF(COUNT(I252:M252)=5,SUM(I252:M252),"")</f>
        <v/>
      </c>
      <c r="O252" s="9">
        <f>IF(N252="","",IF(N252&gt;=16,"Priority",IF(N252&gt;=12,"Active",IF(N252&gt;=8,"Nurture / research","Park"))))</f>
        <v/>
      </c>
      <c r="P252" s="9" t="n"/>
      <c r="Q252" s="9" t="n"/>
      <c r="R252" s="9" t="n"/>
      <c r="S252" s="9" t="n"/>
      <c r="T252" s="9">
        <f>IF(OR(S252="",P252="Won",P252="Lost",P252="Disqualified"),"",IF(TODAY()&gt;S252,TODAY()-S252,0))</f>
        <v/>
      </c>
      <c r="U252" s="9" t="n"/>
      <c r="V252" s="9" t="n"/>
      <c r="W252" s="9" t="n"/>
      <c r="X252" s="9">
        <f>IF(C252="","",IF(COUNTIF($C$4:$C$403,C252)&gt;1,"DUPLICATE",""))</f>
        <v/>
      </c>
      <c r="Y252" s="9" t="n"/>
    </row>
    <row r="253">
      <c r="A253" s="9" t="n"/>
      <c r="B253" s="9" t="n"/>
      <c r="C253" s="9" t="n"/>
      <c r="D253" s="9" t="n"/>
      <c r="E253" s="9" t="n"/>
      <c r="F253" s="9" t="n"/>
      <c r="G253" s="9" t="n"/>
      <c r="H253" s="9" t="n"/>
      <c r="I253" s="9" t="n"/>
      <c r="J253" s="9" t="n"/>
      <c r="K253" s="9" t="n"/>
      <c r="L253" s="9" t="n"/>
      <c r="M253" s="9" t="n"/>
      <c r="N253" s="8">
        <f>IF(COUNT(I253:M253)=5,SUM(I253:M253),"")</f>
        <v/>
      </c>
      <c r="O253" s="9">
        <f>IF(N253="","",IF(N253&gt;=16,"Priority",IF(N253&gt;=12,"Active",IF(N253&gt;=8,"Nurture / research","Park"))))</f>
        <v/>
      </c>
      <c r="P253" s="9" t="n"/>
      <c r="Q253" s="9" t="n"/>
      <c r="R253" s="9" t="n"/>
      <c r="S253" s="9" t="n"/>
      <c r="T253" s="9">
        <f>IF(OR(S253="",P253="Won",P253="Lost",P253="Disqualified"),"",IF(TODAY()&gt;S253,TODAY()-S253,0))</f>
        <v/>
      </c>
      <c r="U253" s="9" t="n"/>
      <c r="V253" s="9" t="n"/>
      <c r="W253" s="9" t="n"/>
      <c r="X253" s="9">
        <f>IF(C253="","",IF(COUNTIF($C$4:$C$403,C253)&gt;1,"DUPLICATE",""))</f>
        <v/>
      </c>
      <c r="Y253" s="9" t="n"/>
    </row>
    <row r="254">
      <c r="A254" s="9" t="n"/>
      <c r="B254" s="9" t="n"/>
      <c r="C254" s="9" t="n"/>
      <c r="D254" s="9" t="n"/>
      <c r="E254" s="9" t="n"/>
      <c r="F254" s="9" t="n"/>
      <c r="G254" s="9" t="n"/>
      <c r="H254" s="9" t="n"/>
      <c r="I254" s="9" t="n"/>
      <c r="J254" s="9" t="n"/>
      <c r="K254" s="9" t="n"/>
      <c r="L254" s="9" t="n"/>
      <c r="M254" s="9" t="n"/>
      <c r="N254" s="8">
        <f>IF(COUNT(I254:M254)=5,SUM(I254:M254),"")</f>
        <v/>
      </c>
      <c r="O254" s="9">
        <f>IF(N254="","",IF(N254&gt;=16,"Priority",IF(N254&gt;=12,"Active",IF(N254&gt;=8,"Nurture / research","Park"))))</f>
        <v/>
      </c>
      <c r="P254" s="9" t="n"/>
      <c r="Q254" s="9" t="n"/>
      <c r="R254" s="9" t="n"/>
      <c r="S254" s="9" t="n"/>
      <c r="T254" s="9">
        <f>IF(OR(S254="",P254="Won",P254="Lost",P254="Disqualified"),"",IF(TODAY()&gt;S254,TODAY()-S254,0))</f>
        <v/>
      </c>
      <c r="U254" s="9" t="n"/>
      <c r="V254" s="9" t="n"/>
      <c r="W254" s="9" t="n"/>
      <c r="X254" s="9">
        <f>IF(C254="","",IF(COUNTIF($C$4:$C$403,C254)&gt;1,"DUPLICATE",""))</f>
        <v/>
      </c>
      <c r="Y254" s="9" t="n"/>
    </row>
    <row r="255">
      <c r="A255" s="9" t="n"/>
      <c r="B255" s="9" t="n"/>
      <c r="C255" s="9" t="n"/>
      <c r="D255" s="9" t="n"/>
      <c r="E255" s="9" t="n"/>
      <c r="F255" s="9" t="n"/>
      <c r="G255" s="9" t="n"/>
      <c r="H255" s="9" t="n"/>
      <c r="I255" s="9" t="n"/>
      <c r="J255" s="9" t="n"/>
      <c r="K255" s="9" t="n"/>
      <c r="L255" s="9" t="n"/>
      <c r="M255" s="9" t="n"/>
      <c r="N255" s="8">
        <f>IF(COUNT(I255:M255)=5,SUM(I255:M255),"")</f>
        <v/>
      </c>
      <c r="O255" s="9">
        <f>IF(N255="","",IF(N255&gt;=16,"Priority",IF(N255&gt;=12,"Active",IF(N255&gt;=8,"Nurture / research","Park"))))</f>
        <v/>
      </c>
      <c r="P255" s="9" t="n"/>
      <c r="Q255" s="9" t="n"/>
      <c r="R255" s="9" t="n"/>
      <c r="S255" s="9" t="n"/>
      <c r="T255" s="9">
        <f>IF(OR(S255="",P255="Won",P255="Lost",P255="Disqualified"),"",IF(TODAY()&gt;S255,TODAY()-S255,0))</f>
        <v/>
      </c>
      <c r="U255" s="9" t="n"/>
      <c r="V255" s="9" t="n"/>
      <c r="W255" s="9" t="n"/>
      <c r="X255" s="9">
        <f>IF(C255="","",IF(COUNTIF($C$4:$C$403,C255)&gt;1,"DUPLICATE",""))</f>
        <v/>
      </c>
      <c r="Y255" s="9" t="n"/>
    </row>
    <row r="256">
      <c r="A256" s="9" t="n"/>
      <c r="B256" s="9" t="n"/>
      <c r="C256" s="9" t="n"/>
      <c r="D256" s="9" t="n"/>
      <c r="E256" s="9" t="n"/>
      <c r="F256" s="9" t="n"/>
      <c r="G256" s="9" t="n"/>
      <c r="H256" s="9" t="n"/>
      <c r="I256" s="9" t="n"/>
      <c r="J256" s="9" t="n"/>
      <c r="K256" s="9" t="n"/>
      <c r="L256" s="9" t="n"/>
      <c r="M256" s="9" t="n"/>
      <c r="N256" s="8">
        <f>IF(COUNT(I256:M256)=5,SUM(I256:M256),"")</f>
        <v/>
      </c>
      <c r="O256" s="9">
        <f>IF(N256="","",IF(N256&gt;=16,"Priority",IF(N256&gt;=12,"Active",IF(N256&gt;=8,"Nurture / research","Park"))))</f>
        <v/>
      </c>
      <c r="P256" s="9" t="n"/>
      <c r="Q256" s="9" t="n"/>
      <c r="R256" s="9" t="n"/>
      <c r="S256" s="9" t="n"/>
      <c r="T256" s="9">
        <f>IF(OR(S256="",P256="Won",P256="Lost",P256="Disqualified"),"",IF(TODAY()&gt;S256,TODAY()-S256,0))</f>
        <v/>
      </c>
      <c r="U256" s="9" t="n"/>
      <c r="V256" s="9" t="n"/>
      <c r="W256" s="9" t="n"/>
      <c r="X256" s="9">
        <f>IF(C256="","",IF(COUNTIF($C$4:$C$403,C256)&gt;1,"DUPLICATE",""))</f>
        <v/>
      </c>
      <c r="Y256" s="9" t="n"/>
    </row>
    <row r="257">
      <c r="A257" s="9" t="n"/>
      <c r="B257" s="9" t="n"/>
      <c r="C257" s="9" t="n"/>
      <c r="D257" s="9" t="n"/>
      <c r="E257" s="9" t="n"/>
      <c r="F257" s="9" t="n"/>
      <c r="G257" s="9" t="n"/>
      <c r="H257" s="9" t="n"/>
      <c r="I257" s="9" t="n"/>
      <c r="J257" s="9" t="n"/>
      <c r="K257" s="9" t="n"/>
      <c r="L257" s="9" t="n"/>
      <c r="M257" s="9" t="n"/>
      <c r="N257" s="8">
        <f>IF(COUNT(I257:M257)=5,SUM(I257:M257),"")</f>
        <v/>
      </c>
      <c r="O257" s="9">
        <f>IF(N257="","",IF(N257&gt;=16,"Priority",IF(N257&gt;=12,"Active",IF(N257&gt;=8,"Nurture / research","Park"))))</f>
        <v/>
      </c>
      <c r="P257" s="9" t="n"/>
      <c r="Q257" s="9" t="n"/>
      <c r="R257" s="9" t="n"/>
      <c r="S257" s="9" t="n"/>
      <c r="T257" s="9">
        <f>IF(OR(S257="",P257="Won",P257="Lost",P257="Disqualified"),"",IF(TODAY()&gt;S257,TODAY()-S257,0))</f>
        <v/>
      </c>
      <c r="U257" s="9" t="n"/>
      <c r="V257" s="9" t="n"/>
      <c r="W257" s="9" t="n"/>
      <c r="X257" s="9">
        <f>IF(C257="","",IF(COUNTIF($C$4:$C$403,C257)&gt;1,"DUPLICATE",""))</f>
        <v/>
      </c>
      <c r="Y257" s="9" t="n"/>
    </row>
    <row r="258">
      <c r="A258" s="9" t="n"/>
      <c r="B258" s="9" t="n"/>
      <c r="C258" s="9" t="n"/>
      <c r="D258" s="9" t="n"/>
      <c r="E258" s="9" t="n"/>
      <c r="F258" s="9" t="n"/>
      <c r="G258" s="9" t="n"/>
      <c r="H258" s="9" t="n"/>
      <c r="I258" s="9" t="n"/>
      <c r="J258" s="9" t="n"/>
      <c r="K258" s="9" t="n"/>
      <c r="L258" s="9" t="n"/>
      <c r="M258" s="9" t="n"/>
      <c r="N258" s="8">
        <f>IF(COUNT(I258:M258)=5,SUM(I258:M258),"")</f>
        <v/>
      </c>
      <c r="O258" s="9">
        <f>IF(N258="","",IF(N258&gt;=16,"Priority",IF(N258&gt;=12,"Active",IF(N258&gt;=8,"Nurture / research","Park"))))</f>
        <v/>
      </c>
      <c r="P258" s="9" t="n"/>
      <c r="Q258" s="9" t="n"/>
      <c r="R258" s="9" t="n"/>
      <c r="S258" s="9" t="n"/>
      <c r="T258" s="9">
        <f>IF(OR(S258="",P258="Won",P258="Lost",P258="Disqualified"),"",IF(TODAY()&gt;S258,TODAY()-S258,0))</f>
        <v/>
      </c>
      <c r="U258" s="9" t="n"/>
      <c r="V258" s="9" t="n"/>
      <c r="W258" s="9" t="n"/>
      <c r="X258" s="9">
        <f>IF(C258="","",IF(COUNTIF($C$4:$C$403,C258)&gt;1,"DUPLICATE",""))</f>
        <v/>
      </c>
      <c r="Y258" s="9" t="n"/>
    </row>
    <row r="259">
      <c r="A259" s="9" t="n"/>
      <c r="B259" s="9" t="n"/>
      <c r="C259" s="9" t="n"/>
      <c r="D259" s="9" t="n"/>
      <c r="E259" s="9" t="n"/>
      <c r="F259" s="9" t="n"/>
      <c r="G259" s="9" t="n"/>
      <c r="H259" s="9" t="n"/>
      <c r="I259" s="9" t="n"/>
      <c r="J259" s="9" t="n"/>
      <c r="K259" s="9" t="n"/>
      <c r="L259" s="9" t="n"/>
      <c r="M259" s="9" t="n"/>
      <c r="N259" s="8">
        <f>IF(COUNT(I259:M259)=5,SUM(I259:M259),"")</f>
        <v/>
      </c>
      <c r="O259" s="9">
        <f>IF(N259="","",IF(N259&gt;=16,"Priority",IF(N259&gt;=12,"Active",IF(N259&gt;=8,"Nurture / research","Park"))))</f>
        <v/>
      </c>
      <c r="P259" s="9" t="n"/>
      <c r="Q259" s="9" t="n"/>
      <c r="R259" s="9" t="n"/>
      <c r="S259" s="9" t="n"/>
      <c r="T259" s="9">
        <f>IF(OR(S259="",P259="Won",P259="Lost",P259="Disqualified"),"",IF(TODAY()&gt;S259,TODAY()-S259,0))</f>
        <v/>
      </c>
      <c r="U259" s="9" t="n"/>
      <c r="V259" s="9" t="n"/>
      <c r="W259" s="9" t="n"/>
      <c r="X259" s="9">
        <f>IF(C259="","",IF(COUNTIF($C$4:$C$403,C259)&gt;1,"DUPLICATE",""))</f>
        <v/>
      </c>
      <c r="Y259" s="9" t="n"/>
    </row>
    <row r="260">
      <c r="A260" s="9" t="n"/>
      <c r="B260" s="9" t="n"/>
      <c r="C260" s="9" t="n"/>
      <c r="D260" s="9" t="n"/>
      <c r="E260" s="9" t="n"/>
      <c r="F260" s="9" t="n"/>
      <c r="G260" s="9" t="n"/>
      <c r="H260" s="9" t="n"/>
      <c r="I260" s="9" t="n"/>
      <c r="J260" s="9" t="n"/>
      <c r="K260" s="9" t="n"/>
      <c r="L260" s="9" t="n"/>
      <c r="M260" s="9" t="n"/>
      <c r="N260" s="8">
        <f>IF(COUNT(I260:M260)=5,SUM(I260:M260),"")</f>
        <v/>
      </c>
      <c r="O260" s="9">
        <f>IF(N260="","",IF(N260&gt;=16,"Priority",IF(N260&gt;=12,"Active",IF(N260&gt;=8,"Nurture / research","Park"))))</f>
        <v/>
      </c>
      <c r="P260" s="9" t="n"/>
      <c r="Q260" s="9" t="n"/>
      <c r="R260" s="9" t="n"/>
      <c r="S260" s="9" t="n"/>
      <c r="T260" s="9">
        <f>IF(OR(S260="",P260="Won",P260="Lost",P260="Disqualified"),"",IF(TODAY()&gt;S260,TODAY()-S260,0))</f>
        <v/>
      </c>
      <c r="U260" s="9" t="n"/>
      <c r="V260" s="9" t="n"/>
      <c r="W260" s="9" t="n"/>
      <c r="X260" s="9">
        <f>IF(C260="","",IF(COUNTIF($C$4:$C$403,C260)&gt;1,"DUPLICATE",""))</f>
        <v/>
      </c>
      <c r="Y260" s="9" t="n"/>
    </row>
    <row r="261">
      <c r="A261" s="9" t="n"/>
      <c r="B261" s="9" t="n"/>
      <c r="C261" s="9" t="n"/>
      <c r="D261" s="9" t="n"/>
      <c r="E261" s="9" t="n"/>
      <c r="F261" s="9" t="n"/>
      <c r="G261" s="9" t="n"/>
      <c r="H261" s="9" t="n"/>
      <c r="I261" s="9" t="n"/>
      <c r="J261" s="9" t="n"/>
      <c r="K261" s="9" t="n"/>
      <c r="L261" s="9" t="n"/>
      <c r="M261" s="9" t="n"/>
      <c r="N261" s="8">
        <f>IF(COUNT(I261:M261)=5,SUM(I261:M261),"")</f>
        <v/>
      </c>
      <c r="O261" s="9">
        <f>IF(N261="","",IF(N261&gt;=16,"Priority",IF(N261&gt;=12,"Active",IF(N261&gt;=8,"Nurture / research","Park"))))</f>
        <v/>
      </c>
      <c r="P261" s="9" t="n"/>
      <c r="Q261" s="9" t="n"/>
      <c r="R261" s="9" t="n"/>
      <c r="S261" s="9" t="n"/>
      <c r="T261" s="9">
        <f>IF(OR(S261="",P261="Won",P261="Lost",P261="Disqualified"),"",IF(TODAY()&gt;S261,TODAY()-S261,0))</f>
        <v/>
      </c>
      <c r="U261" s="9" t="n"/>
      <c r="V261" s="9" t="n"/>
      <c r="W261" s="9" t="n"/>
      <c r="X261" s="9">
        <f>IF(C261="","",IF(COUNTIF($C$4:$C$403,C261)&gt;1,"DUPLICATE",""))</f>
        <v/>
      </c>
      <c r="Y261" s="9" t="n"/>
    </row>
    <row r="262">
      <c r="A262" s="9" t="n"/>
      <c r="B262" s="9" t="n"/>
      <c r="C262" s="9" t="n"/>
      <c r="D262" s="9" t="n"/>
      <c r="E262" s="9" t="n"/>
      <c r="F262" s="9" t="n"/>
      <c r="G262" s="9" t="n"/>
      <c r="H262" s="9" t="n"/>
      <c r="I262" s="9" t="n"/>
      <c r="J262" s="9" t="n"/>
      <c r="K262" s="9" t="n"/>
      <c r="L262" s="9" t="n"/>
      <c r="M262" s="9" t="n"/>
      <c r="N262" s="8">
        <f>IF(COUNT(I262:M262)=5,SUM(I262:M262),"")</f>
        <v/>
      </c>
      <c r="O262" s="9">
        <f>IF(N262="","",IF(N262&gt;=16,"Priority",IF(N262&gt;=12,"Active",IF(N262&gt;=8,"Nurture / research","Park"))))</f>
        <v/>
      </c>
      <c r="P262" s="9" t="n"/>
      <c r="Q262" s="9" t="n"/>
      <c r="R262" s="9" t="n"/>
      <c r="S262" s="9" t="n"/>
      <c r="T262" s="9">
        <f>IF(OR(S262="",P262="Won",P262="Lost",P262="Disqualified"),"",IF(TODAY()&gt;S262,TODAY()-S262,0))</f>
        <v/>
      </c>
      <c r="U262" s="9" t="n"/>
      <c r="V262" s="9" t="n"/>
      <c r="W262" s="9" t="n"/>
      <c r="X262" s="9">
        <f>IF(C262="","",IF(COUNTIF($C$4:$C$403,C262)&gt;1,"DUPLICATE",""))</f>
        <v/>
      </c>
      <c r="Y262" s="9" t="n"/>
    </row>
    <row r="263">
      <c r="A263" s="9" t="n"/>
      <c r="B263" s="9" t="n"/>
      <c r="C263" s="9" t="n"/>
      <c r="D263" s="9" t="n"/>
      <c r="E263" s="9" t="n"/>
      <c r="F263" s="9" t="n"/>
      <c r="G263" s="9" t="n"/>
      <c r="H263" s="9" t="n"/>
      <c r="I263" s="9" t="n"/>
      <c r="J263" s="9" t="n"/>
      <c r="K263" s="9" t="n"/>
      <c r="L263" s="9" t="n"/>
      <c r="M263" s="9" t="n"/>
      <c r="N263" s="8">
        <f>IF(COUNT(I263:M263)=5,SUM(I263:M263),"")</f>
        <v/>
      </c>
      <c r="O263" s="9">
        <f>IF(N263="","",IF(N263&gt;=16,"Priority",IF(N263&gt;=12,"Active",IF(N263&gt;=8,"Nurture / research","Park"))))</f>
        <v/>
      </c>
      <c r="P263" s="9" t="n"/>
      <c r="Q263" s="9" t="n"/>
      <c r="R263" s="9" t="n"/>
      <c r="S263" s="9" t="n"/>
      <c r="T263" s="9">
        <f>IF(OR(S263="",P263="Won",P263="Lost",P263="Disqualified"),"",IF(TODAY()&gt;S263,TODAY()-S263,0))</f>
        <v/>
      </c>
      <c r="U263" s="9" t="n"/>
      <c r="V263" s="9" t="n"/>
      <c r="W263" s="9" t="n"/>
      <c r="X263" s="9">
        <f>IF(C263="","",IF(COUNTIF($C$4:$C$403,C263)&gt;1,"DUPLICATE",""))</f>
        <v/>
      </c>
      <c r="Y263" s="9" t="n"/>
    </row>
    <row r="264">
      <c r="A264" s="9" t="n"/>
      <c r="B264" s="9" t="n"/>
      <c r="C264" s="9" t="n"/>
      <c r="D264" s="9" t="n"/>
      <c r="E264" s="9" t="n"/>
      <c r="F264" s="9" t="n"/>
      <c r="G264" s="9" t="n"/>
      <c r="H264" s="9" t="n"/>
      <c r="I264" s="9" t="n"/>
      <c r="J264" s="9" t="n"/>
      <c r="K264" s="9" t="n"/>
      <c r="L264" s="9" t="n"/>
      <c r="M264" s="9" t="n"/>
      <c r="N264" s="8">
        <f>IF(COUNT(I264:M264)=5,SUM(I264:M264),"")</f>
        <v/>
      </c>
      <c r="O264" s="9">
        <f>IF(N264="","",IF(N264&gt;=16,"Priority",IF(N264&gt;=12,"Active",IF(N264&gt;=8,"Nurture / research","Park"))))</f>
        <v/>
      </c>
      <c r="P264" s="9" t="n"/>
      <c r="Q264" s="9" t="n"/>
      <c r="R264" s="9" t="n"/>
      <c r="S264" s="9" t="n"/>
      <c r="T264" s="9">
        <f>IF(OR(S264="",P264="Won",P264="Lost",P264="Disqualified"),"",IF(TODAY()&gt;S264,TODAY()-S264,0))</f>
        <v/>
      </c>
      <c r="U264" s="9" t="n"/>
      <c r="V264" s="9" t="n"/>
      <c r="W264" s="9" t="n"/>
      <c r="X264" s="9">
        <f>IF(C264="","",IF(COUNTIF($C$4:$C$403,C264)&gt;1,"DUPLICATE",""))</f>
        <v/>
      </c>
      <c r="Y264" s="9" t="n"/>
    </row>
    <row r="265">
      <c r="A265" s="9" t="n"/>
      <c r="B265" s="9" t="n"/>
      <c r="C265" s="9" t="n"/>
      <c r="D265" s="9" t="n"/>
      <c r="E265" s="9" t="n"/>
      <c r="F265" s="9" t="n"/>
      <c r="G265" s="9" t="n"/>
      <c r="H265" s="9" t="n"/>
      <c r="I265" s="9" t="n"/>
      <c r="J265" s="9" t="n"/>
      <c r="K265" s="9" t="n"/>
      <c r="L265" s="9" t="n"/>
      <c r="M265" s="9" t="n"/>
      <c r="N265" s="8">
        <f>IF(COUNT(I265:M265)=5,SUM(I265:M265),"")</f>
        <v/>
      </c>
      <c r="O265" s="9">
        <f>IF(N265="","",IF(N265&gt;=16,"Priority",IF(N265&gt;=12,"Active",IF(N265&gt;=8,"Nurture / research","Park"))))</f>
        <v/>
      </c>
      <c r="P265" s="9" t="n"/>
      <c r="Q265" s="9" t="n"/>
      <c r="R265" s="9" t="n"/>
      <c r="S265" s="9" t="n"/>
      <c r="T265" s="9">
        <f>IF(OR(S265="",P265="Won",P265="Lost",P265="Disqualified"),"",IF(TODAY()&gt;S265,TODAY()-S265,0))</f>
        <v/>
      </c>
      <c r="U265" s="9" t="n"/>
      <c r="V265" s="9" t="n"/>
      <c r="W265" s="9" t="n"/>
      <c r="X265" s="9">
        <f>IF(C265="","",IF(COUNTIF($C$4:$C$403,C265)&gt;1,"DUPLICATE",""))</f>
        <v/>
      </c>
      <c r="Y265" s="9" t="n"/>
    </row>
    <row r="266">
      <c r="A266" s="9" t="n"/>
      <c r="B266" s="9" t="n"/>
      <c r="C266" s="9" t="n"/>
      <c r="D266" s="9" t="n"/>
      <c r="E266" s="9" t="n"/>
      <c r="F266" s="9" t="n"/>
      <c r="G266" s="9" t="n"/>
      <c r="H266" s="9" t="n"/>
      <c r="I266" s="9" t="n"/>
      <c r="J266" s="9" t="n"/>
      <c r="K266" s="9" t="n"/>
      <c r="L266" s="9" t="n"/>
      <c r="M266" s="9" t="n"/>
      <c r="N266" s="8">
        <f>IF(COUNT(I266:M266)=5,SUM(I266:M266),"")</f>
        <v/>
      </c>
      <c r="O266" s="9">
        <f>IF(N266="","",IF(N266&gt;=16,"Priority",IF(N266&gt;=12,"Active",IF(N266&gt;=8,"Nurture / research","Park"))))</f>
        <v/>
      </c>
      <c r="P266" s="9" t="n"/>
      <c r="Q266" s="9" t="n"/>
      <c r="R266" s="9" t="n"/>
      <c r="S266" s="9" t="n"/>
      <c r="T266" s="9">
        <f>IF(OR(S266="",P266="Won",P266="Lost",P266="Disqualified"),"",IF(TODAY()&gt;S266,TODAY()-S266,0))</f>
        <v/>
      </c>
      <c r="U266" s="9" t="n"/>
      <c r="V266" s="9" t="n"/>
      <c r="W266" s="9" t="n"/>
      <c r="X266" s="9">
        <f>IF(C266="","",IF(COUNTIF($C$4:$C$403,C266)&gt;1,"DUPLICATE",""))</f>
        <v/>
      </c>
      <c r="Y266" s="9" t="n"/>
    </row>
    <row r="267">
      <c r="A267" s="9" t="n"/>
      <c r="B267" s="9" t="n"/>
      <c r="C267" s="9" t="n"/>
      <c r="D267" s="9" t="n"/>
      <c r="E267" s="9" t="n"/>
      <c r="F267" s="9" t="n"/>
      <c r="G267" s="9" t="n"/>
      <c r="H267" s="9" t="n"/>
      <c r="I267" s="9" t="n"/>
      <c r="J267" s="9" t="n"/>
      <c r="K267" s="9" t="n"/>
      <c r="L267" s="9" t="n"/>
      <c r="M267" s="9" t="n"/>
      <c r="N267" s="8">
        <f>IF(COUNT(I267:M267)=5,SUM(I267:M267),"")</f>
        <v/>
      </c>
      <c r="O267" s="9">
        <f>IF(N267="","",IF(N267&gt;=16,"Priority",IF(N267&gt;=12,"Active",IF(N267&gt;=8,"Nurture / research","Park"))))</f>
        <v/>
      </c>
      <c r="P267" s="9" t="n"/>
      <c r="Q267" s="9" t="n"/>
      <c r="R267" s="9" t="n"/>
      <c r="S267" s="9" t="n"/>
      <c r="T267" s="9">
        <f>IF(OR(S267="",P267="Won",P267="Lost",P267="Disqualified"),"",IF(TODAY()&gt;S267,TODAY()-S267,0))</f>
        <v/>
      </c>
      <c r="U267" s="9" t="n"/>
      <c r="V267" s="9" t="n"/>
      <c r="W267" s="9" t="n"/>
      <c r="X267" s="9">
        <f>IF(C267="","",IF(COUNTIF($C$4:$C$403,C267)&gt;1,"DUPLICATE",""))</f>
        <v/>
      </c>
      <c r="Y267" s="9" t="n"/>
    </row>
    <row r="268">
      <c r="A268" s="9" t="n"/>
      <c r="B268" s="9" t="n"/>
      <c r="C268" s="9" t="n"/>
      <c r="D268" s="9" t="n"/>
      <c r="E268" s="9" t="n"/>
      <c r="F268" s="9" t="n"/>
      <c r="G268" s="9" t="n"/>
      <c r="H268" s="9" t="n"/>
      <c r="I268" s="9" t="n"/>
      <c r="J268" s="9" t="n"/>
      <c r="K268" s="9" t="n"/>
      <c r="L268" s="9" t="n"/>
      <c r="M268" s="9" t="n"/>
      <c r="N268" s="8">
        <f>IF(COUNT(I268:M268)=5,SUM(I268:M268),"")</f>
        <v/>
      </c>
      <c r="O268" s="9">
        <f>IF(N268="","",IF(N268&gt;=16,"Priority",IF(N268&gt;=12,"Active",IF(N268&gt;=8,"Nurture / research","Park"))))</f>
        <v/>
      </c>
      <c r="P268" s="9" t="n"/>
      <c r="Q268" s="9" t="n"/>
      <c r="R268" s="9" t="n"/>
      <c r="S268" s="9" t="n"/>
      <c r="T268" s="9">
        <f>IF(OR(S268="",P268="Won",P268="Lost",P268="Disqualified"),"",IF(TODAY()&gt;S268,TODAY()-S268,0))</f>
        <v/>
      </c>
      <c r="U268" s="9" t="n"/>
      <c r="V268" s="9" t="n"/>
      <c r="W268" s="9" t="n"/>
      <c r="X268" s="9">
        <f>IF(C268="","",IF(COUNTIF($C$4:$C$403,C268)&gt;1,"DUPLICATE",""))</f>
        <v/>
      </c>
      <c r="Y268" s="9" t="n"/>
    </row>
    <row r="269">
      <c r="A269" s="9" t="n"/>
      <c r="B269" s="9" t="n"/>
      <c r="C269" s="9" t="n"/>
      <c r="D269" s="9" t="n"/>
      <c r="E269" s="9" t="n"/>
      <c r="F269" s="9" t="n"/>
      <c r="G269" s="9" t="n"/>
      <c r="H269" s="9" t="n"/>
      <c r="I269" s="9" t="n"/>
      <c r="J269" s="9" t="n"/>
      <c r="K269" s="9" t="n"/>
      <c r="L269" s="9" t="n"/>
      <c r="M269" s="9" t="n"/>
      <c r="N269" s="8">
        <f>IF(COUNT(I269:M269)=5,SUM(I269:M269),"")</f>
        <v/>
      </c>
      <c r="O269" s="9">
        <f>IF(N269="","",IF(N269&gt;=16,"Priority",IF(N269&gt;=12,"Active",IF(N269&gt;=8,"Nurture / research","Park"))))</f>
        <v/>
      </c>
      <c r="P269" s="9" t="n"/>
      <c r="Q269" s="9" t="n"/>
      <c r="R269" s="9" t="n"/>
      <c r="S269" s="9" t="n"/>
      <c r="T269" s="9">
        <f>IF(OR(S269="",P269="Won",P269="Lost",P269="Disqualified"),"",IF(TODAY()&gt;S269,TODAY()-S269,0))</f>
        <v/>
      </c>
      <c r="U269" s="9" t="n"/>
      <c r="V269" s="9" t="n"/>
      <c r="W269" s="9" t="n"/>
      <c r="X269" s="9">
        <f>IF(C269="","",IF(COUNTIF($C$4:$C$403,C269)&gt;1,"DUPLICATE",""))</f>
        <v/>
      </c>
      <c r="Y269" s="9" t="n"/>
    </row>
    <row r="270">
      <c r="A270" s="9" t="n"/>
      <c r="B270" s="9" t="n"/>
      <c r="C270" s="9" t="n"/>
      <c r="D270" s="9" t="n"/>
      <c r="E270" s="9" t="n"/>
      <c r="F270" s="9" t="n"/>
      <c r="G270" s="9" t="n"/>
      <c r="H270" s="9" t="n"/>
      <c r="I270" s="9" t="n"/>
      <c r="J270" s="9" t="n"/>
      <c r="K270" s="9" t="n"/>
      <c r="L270" s="9" t="n"/>
      <c r="M270" s="9" t="n"/>
      <c r="N270" s="8">
        <f>IF(COUNT(I270:M270)=5,SUM(I270:M270),"")</f>
        <v/>
      </c>
      <c r="O270" s="9">
        <f>IF(N270="","",IF(N270&gt;=16,"Priority",IF(N270&gt;=12,"Active",IF(N270&gt;=8,"Nurture / research","Park"))))</f>
        <v/>
      </c>
      <c r="P270" s="9" t="n"/>
      <c r="Q270" s="9" t="n"/>
      <c r="R270" s="9" t="n"/>
      <c r="S270" s="9" t="n"/>
      <c r="T270" s="9">
        <f>IF(OR(S270="",P270="Won",P270="Lost",P270="Disqualified"),"",IF(TODAY()&gt;S270,TODAY()-S270,0))</f>
        <v/>
      </c>
      <c r="U270" s="9" t="n"/>
      <c r="V270" s="9" t="n"/>
      <c r="W270" s="9" t="n"/>
      <c r="X270" s="9">
        <f>IF(C270="","",IF(COUNTIF($C$4:$C$403,C270)&gt;1,"DUPLICATE",""))</f>
        <v/>
      </c>
      <c r="Y270" s="9" t="n"/>
    </row>
    <row r="271">
      <c r="A271" s="9" t="n"/>
      <c r="B271" s="9" t="n"/>
      <c r="C271" s="9" t="n"/>
      <c r="D271" s="9" t="n"/>
      <c r="E271" s="9" t="n"/>
      <c r="F271" s="9" t="n"/>
      <c r="G271" s="9" t="n"/>
      <c r="H271" s="9" t="n"/>
      <c r="I271" s="9" t="n"/>
      <c r="J271" s="9" t="n"/>
      <c r="K271" s="9" t="n"/>
      <c r="L271" s="9" t="n"/>
      <c r="M271" s="9" t="n"/>
      <c r="N271" s="8">
        <f>IF(COUNT(I271:M271)=5,SUM(I271:M271),"")</f>
        <v/>
      </c>
      <c r="O271" s="9">
        <f>IF(N271="","",IF(N271&gt;=16,"Priority",IF(N271&gt;=12,"Active",IF(N271&gt;=8,"Nurture / research","Park"))))</f>
        <v/>
      </c>
      <c r="P271" s="9" t="n"/>
      <c r="Q271" s="9" t="n"/>
      <c r="R271" s="9" t="n"/>
      <c r="S271" s="9" t="n"/>
      <c r="T271" s="9">
        <f>IF(OR(S271="",P271="Won",P271="Lost",P271="Disqualified"),"",IF(TODAY()&gt;S271,TODAY()-S271,0))</f>
        <v/>
      </c>
      <c r="U271" s="9" t="n"/>
      <c r="V271" s="9" t="n"/>
      <c r="W271" s="9" t="n"/>
      <c r="X271" s="9">
        <f>IF(C271="","",IF(COUNTIF($C$4:$C$403,C271)&gt;1,"DUPLICATE",""))</f>
        <v/>
      </c>
      <c r="Y271" s="9" t="n"/>
    </row>
    <row r="272">
      <c r="A272" s="9" t="n"/>
      <c r="B272" s="9" t="n"/>
      <c r="C272" s="9" t="n"/>
      <c r="D272" s="9" t="n"/>
      <c r="E272" s="9" t="n"/>
      <c r="F272" s="9" t="n"/>
      <c r="G272" s="9" t="n"/>
      <c r="H272" s="9" t="n"/>
      <c r="I272" s="9" t="n"/>
      <c r="J272" s="9" t="n"/>
      <c r="K272" s="9" t="n"/>
      <c r="L272" s="9" t="n"/>
      <c r="M272" s="9" t="n"/>
      <c r="N272" s="8">
        <f>IF(COUNT(I272:M272)=5,SUM(I272:M272),"")</f>
        <v/>
      </c>
      <c r="O272" s="9">
        <f>IF(N272="","",IF(N272&gt;=16,"Priority",IF(N272&gt;=12,"Active",IF(N272&gt;=8,"Nurture / research","Park"))))</f>
        <v/>
      </c>
      <c r="P272" s="9" t="n"/>
      <c r="Q272" s="9" t="n"/>
      <c r="R272" s="9" t="n"/>
      <c r="S272" s="9" t="n"/>
      <c r="T272" s="9">
        <f>IF(OR(S272="",P272="Won",P272="Lost",P272="Disqualified"),"",IF(TODAY()&gt;S272,TODAY()-S272,0))</f>
        <v/>
      </c>
      <c r="U272" s="9" t="n"/>
      <c r="V272" s="9" t="n"/>
      <c r="W272" s="9" t="n"/>
      <c r="X272" s="9">
        <f>IF(C272="","",IF(COUNTIF($C$4:$C$403,C272)&gt;1,"DUPLICATE",""))</f>
        <v/>
      </c>
      <c r="Y272" s="9" t="n"/>
    </row>
    <row r="273">
      <c r="A273" s="9" t="n"/>
      <c r="B273" s="9" t="n"/>
      <c r="C273" s="9" t="n"/>
      <c r="D273" s="9" t="n"/>
      <c r="E273" s="9" t="n"/>
      <c r="F273" s="9" t="n"/>
      <c r="G273" s="9" t="n"/>
      <c r="H273" s="9" t="n"/>
      <c r="I273" s="9" t="n"/>
      <c r="J273" s="9" t="n"/>
      <c r="K273" s="9" t="n"/>
      <c r="L273" s="9" t="n"/>
      <c r="M273" s="9" t="n"/>
      <c r="N273" s="8">
        <f>IF(COUNT(I273:M273)=5,SUM(I273:M273),"")</f>
        <v/>
      </c>
      <c r="O273" s="9">
        <f>IF(N273="","",IF(N273&gt;=16,"Priority",IF(N273&gt;=12,"Active",IF(N273&gt;=8,"Nurture / research","Park"))))</f>
        <v/>
      </c>
      <c r="P273" s="9" t="n"/>
      <c r="Q273" s="9" t="n"/>
      <c r="R273" s="9" t="n"/>
      <c r="S273" s="9" t="n"/>
      <c r="T273" s="9">
        <f>IF(OR(S273="",P273="Won",P273="Lost",P273="Disqualified"),"",IF(TODAY()&gt;S273,TODAY()-S273,0))</f>
        <v/>
      </c>
      <c r="U273" s="9" t="n"/>
      <c r="V273" s="9" t="n"/>
      <c r="W273" s="9" t="n"/>
      <c r="X273" s="9">
        <f>IF(C273="","",IF(COUNTIF($C$4:$C$403,C273)&gt;1,"DUPLICATE",""))</f>
        <v/>
      </c>
      <c r="Y273" s="9" t="n"/>
    </row>
    <row r="274">
      <c r="A274" s="9" t="n"/>
      <c r="B274" s="9" t="n"/>
      <c r="C274" s="9" t="n"/>
      <c r="D274" s="9" t="n"/>
      <c r="E274" s="9" t="n"/>
      <c r="F274" s="9" t="n"/>
      <c r="G274" s="9" t="n"/>
      <c r="H274" s="9" t="n"/>
      <c r="I274" s="9" t="n"/>
      <c r="J274" s="9" t="n"/>
      <c r="K274" s="9" t="n"/>
      <c r="L274" s="9" t="n"/>
      <c r="M274" s="9" t="n"/>
      <c r="N274" s="8">
        <f>IF(COUNT(I274:M274)=5,SUM(I274:M274),"")</f>
        <v/>
      </c>
      <c r="O274" s="9">
        <f>IF(N274="","",IF(N274&gt;=16,"Priority",IF(N274&gt;=12,"Active",IF(N274&gt;=8,"Nurture / research","Park"))))</f>
        <v/>
      </c>
      <c r="P274" s="9" t="n"/>
      <c r="Q274" s="9" t="n"/>
      <c r="R274" s="9" t="n"/>
      <c r="S274" s="9" t="n"/>
      <c r="T274" s="9">
        <f>IF(OR(S274="",P274="Won",P274="Lost",P274="Disqualified"),"",IF(TODAY()&gt;S274,TODAY()-S274,0))</f>
        <v/>
      </c>
      <c r="U274" s="9" t="n"/>
      <c r="V274" s="9" t="n"/>
      <c r="W274" s="9" t="n"/>
      <c r="X274" s="9">
        <f>IF(C274="","",IF(COUNTIF($C$4:$C$403,C274)&gt;1,"DUPLICATE",""))</f>
        <v/>
      </c>
      <c r="Y274" s="9" t="n"/>
    </row>
    <row r="275">
      <c r="A275" s="9" t="n"/>
      <c r="B275" s="9" t="n"/>
      <c r="C275" s="9" t="n"/>
      <c r="D275" s="9" t="n"/>
      <c r="E275" s="9" t="n"/>
      <c r="F275" s="9" t="n"/>
      <c r="G275" s="9" t="n"/>
      <c r="H275" s="9" t="n"/>
      <c r="I275" s="9" t="n"/>
      <c r="J275" s="9" t="n"/>
      <c r="K275" s="9" t="n"/>
      <c r="L275" s="9" t="n"/>
      <c r="M275" s="9" t="n"/>
      <c r="N275" s="8">
        <f>IF(COUNT(I275:M275)=5,SUM(I275:M275),"")</f>
        <v/>
      </c>
      <c r="O275" s="9">
        <f>IF(N275="","",IF(N275&gt;=16,"Priority",IF(N275&gt;=12,"Active",IF(N275&gt;=8,"Nurture / research","Park"))))</f>
        <v/>
      </c>
      <c r="P275" s="9" t="n"/>
      <c r="Q275" s="9" t="n"/>
      <c r="R275" s="9" t="n"/>
      <c r="S275" s="9" t="n"/>
      <c r="T275" s="9">
        <f>IF(OR(S275="",P275="Won",P275="Lost",P275="Disqualified"),"",IF(TODAY()&gt;S275,TODAY()-S275,0))</f>
        <v/>
      </c>
      <c r="U275" s="9" t="n"/>
      <c r="V275" s="9" t="n"/>
      <c r="W275" s="9" t="n"/>
      <c r="X275" s="9">
        <f>IF(C275="","",IF(COUNTIF($C$4:$C$403,C275)&gt;1,"DUPLICATE",""))</f>
        <v/>
      </c>
      <c r="Y275" s="9" t="n"/>
    </row>
    <row r="276">
      <c r="A276" s="9" t="n"/>
      <c r="B276" s="9" t="n"/>
      <c r="C276" s="9" t="n"/>
      <c r="D276" s="9" t="n"/>
      <c r="E276" s="9" t="n"/>
      <c r="F276" s="9" t="n"/>
      <c r="G276" s="9" t="n"/>
      <c r="H276" s="9" t="n"/>
      <c r="I276" s="9" t="n"/>
      <c r="J276" s="9" t="n"/>
      <c r="K276" s="9" t="n"/>
      <c r="L276" s="9" t="n"/>
      <c r="M276" s="9" t="n"/>
      <c r="N276" s="8">
        <f>IF(COUNT(I276:M276)=5,SUM(I276:M276),"")</f>
        <v/>
      </c>
      <c r="O276" s="9">
        <f>IF(N276="","",IF(N276&gt;=16,"Priority",IF(N276&gt;=12,"Active",IF(N276&gt;=8,"Nurture / research","Park"))))</f>
        <v/>
      </c>
      <c r="P276" s="9" t="n"/>
      <c r="Q276" s="9" t="n"/>
      <c r="R276" s="9" t="n"/>
      <c r="S276" s="9" t="n"/>
      <c r="T276" s="9">
        <f>IF(OR(S276="",P276="Won",P276="Lost",P276="Disqualified"),"",IF(TODAY()&gt;S276,TODAY()-S276,0))</f>
        <v/>
      </c>
      <c r="U276" s="9" t="n"/>
      <c r="V276" s="9" t="n"/>
      <c r="W276" s="9" t="n"/>
      <c r="X276" s="9">
        <f>IF(C276="","",IF(COUNTIF($C$4:$C$403,C276)&gt;1,"DUPLICATE",""))</f>
        <v/>
      </c>
      <c r="Y276" s="9" t="n"/>
    </row>
    <row r="277">
      <c r="A277" s="9" t="n"/>
      <c r="B277" s="9" t="n"/>
      <c r="C277" s="9" t="n"/>
      <c r="D277" s="9" t="n"/>
      <c r="E277" s="9" t="n"/>
      <c r="F277" s="9" t="n"/>
      <c r="G277" s="9" t="n"/>
      <c r="H277" s="9" t="n"/>
      <c r="I277" s="9" t="n"/>
      <c r="J277" s="9" t="n"/>
      <c r="K277" s="9" t="n"/>
      <c r="L277" s="9" t="n"/>
      <c r="M277" s="9" t="n"/>
      <c r="N277" s="8">
        <f>IF(COUNT(I277:M277)=5,SUM(I277:M277),"")</f>
        <v/>
      </c>
      <c r="O277" s="9">
        <f>IF(N277="","",IF(N277&gt;=16,"Priority",IF(N277&gt;=12,"Active",IF(N277&gt;=8,"Nurture / research","Park"))))</f>
        <v/>
      </c>
      <c r="P277" s="9" t="n"/>
      <c r="Q277" s="9" t="n"/>
      <c r="R277" s="9" t="n"/>
      <c r="S277" s="9" t="n"/>
      <c r="T277" s="9">
        <f>IF(OR(S277="",P277="Won",P277="Lost",P277="Disqualified"),"",IF(TODAY()&gt;S277,TODAY()-S277,0))</f>
        <v/>
      </c>
      <c r="U277" s="9" t="n"/>
      <c r="V277" s="9" t="n"/>
      <c r="W277" s="9" t="n"/>
      <c r="X277" s="9">
        <f>IF(C277="","",IF(COUNTIF($C$4:$C$403,C277)&gt;1,"DUPLICATE",""))</f>
        <v/>
      </c>
      <c r="Y277" s="9" t="n"/>
    </row>
    <row r="278">
      <c r="A278" s="9" t="n"/>
      <c r="B278" s="9" t="n"/>
      <c r="C278" s="9" t="n"/>
      <c r="D278" s="9" t="n"/>
      <c r="E278" s="9" t="n"/>
      <c r="F278" s="9" t="n"/>
      <c r="G278" s="9" t="n"/>
      <c r="H278" s="9" t="n"/>
      <c r="I278" s="9" t="n"/>
      <c r="J278" s="9" t="n"/>
      <c r="K278" s="9" t="n"/>
      <c r="L278" s="9" t="n"/>
      <c r="M278" s="9" t="n"/>
      <c r="N278" s="8">
        <f>IF(COUNT(I278:M278)=5,SUM(I278:M278),"")</f>
        <v/>
      </c>
      <c r="O278" s="9">
        <f>IF(N278="","",IF(N278&gt;=16,"Priority",IF(N278&gt;=12,"Active",IF(N278&gt;=8,"Nurture / research","Park"))))</f>
        <v/>
      </c>
      <c r="P278" s="9" t="n"/>
      <c r="Q278" s="9" t="n"/>
      <c r="R278" s="9" t="n"/>
      <c r="S278" s="9" t="n"/>
      <c r="T278" s="9">
        <f>IF(OR(S278="",P278="Won",P278="Lost",P278="Disqualified"),"",IF(TODAY()&gt;S278,TODAY()-S278,0))</f>
        <v/>
      </c>
      <c r="U278" s="9" t="n"/>
      <c r="V278" s="9" t="n"/>
      <c r="W278" s="9" t="n"/>
      <c r="X278" s="9">
        <f>IF(C278="","",IF(COUNTIF($C$4:$C$403,C278)&gt;1,"DUPLICATE",""))</f>
        <v/>
      </c>
      <c r="Y278" s="9" t="n"/>
    </row>
    <row r="279">
      <c r="A279" s="9" t="n"/>
      <c r="B279" s="9" t="n"/>
      <c r="C279" s="9" t="n"/>
      <c r="D279" s="9" t="n"/>
      <c r="E279" s="9" t="n"/>
      <c r="F279" s="9" t="n"/>
      <c r="G279" s="9" t="n"/>
      <c r="H279" s="9" t="n"/>
      <c r="I279" s="9" t="n"/>
      <c r="J279" s="9" t="n"/>
      <c r="K279" s="9" t="n"/>
      <c r="L279" s="9" t="n"/>
      <c r="M279" s="9" t="n"/>
      <c r="N279" s="8">
        <f>IF(COUNT(I279:M279)=5,SUM(I279:M279),"")</f>
        <v/>
      </c>
      <c r="O279" s="9">
        <f>IF(N279="","",IF(N279&gt;=16,"Priority",IF(N279&gt;=12,"Active",IF(N279&gt;=8,"Nurture / research","Park"))))</f>
        <v/>
      </c>
      <c r="P279" s="9" t="n"/>
      <c r="Q279" s="9" t="n"/>
      <c r="R279" s="9" t="n"/>
      <c r="S279" s="9" t="n"/>
      <c r="T279" s="9">
        <f>IF(OR(S279="",P279="Won",P279="Lost",P279="Disqualified"),"",IF(TODAY()&gt;S279,TODAY()-S279,0))</f>
        <v/>
      </c>
      <c r="U279" s="9" t="n"/>
      <c r="V279" s="9" t="n"/>
      <c r="W279" s="9" t="n"/>
      <c r="X279" s="9">
        <f>IF(C279="","",IF(COUNTIF($C$4:$C$403,C279)&gt;1,"DUPLICATE",""))</f>
        <v/>
      </c>
      <c r="Y279" s="9" t="n"/>
    </row>
    <row r="280">
      <c r="A280" s="9" t="n"/>
      <c r="B280" s="9" t="n"/>
      <c r="C280" s="9" t="n"/>
      <c r="D280" s="9" t="n"/>
      <c r="E280" s="9" t="n"/>
      <c r="F280" s="9" t="n"/>
      <c r="G280" s="9" t="n"/>
      <c r="H280" s="9" t="n"/>
      <c r="I280" s="9" t="n"/>
      <c r="J280" s="9" t="n"/>
      <c r="K280" s="9" t="n"/>
      <c r="L280" s="9" t="n"/>
      <c r="M280" s="9" t="n"/>
      <c r="N280" s="8">
        <f>IF(COUNT(I280:M280)=5,SUM(I280:M280),"")</f>
        <v/>
      </c>
      <c r="O280" s="9">
        <f>IF(N280="","",IF(N280&gt;=16,"Priority",IF(N280&gt;=12,"Active",IF(N280&gt;=8,"Nurture / research","Park"))))</f>
        <v/>
      </c>
      <c r="P280" s="9" t="n"/>
      <c r="Q280" s="9" t="n"/>
      <c r="R280" s="9" t="n"/>
      <c r="S280" s="9" t="n"/>
      <c r="T280" s="9">
        <f>IF(OR(S280="",P280="Won",P280="Lost",P280="Disqualified"),"",IF(TODAY()&gt;S280,TODAY()-S280,0))</f>
        <v/>
      </c>
      <c r="U280" s="9" t="n"/>
      <c r="V280" s="9" t="n"/>
      <c r="W280" s="9" t="n"/>
      <c r="X280" s="9">
        <f>IF(C280="","",IF(COUNTIF($C$4:$C$403,C280)&gt;1,"DUPLICATE",""))</f>
        <v/>
      </c>
      <c r="Y280" s="9" t="n"/>
    </row>
    <row r="281">
      <c r="A281" s="9" t="n"/>
      <c r="B281" s="9" t="n"/>
      <c r="C281" s="9" t="n"/>
      <c r="D281" s="9" t="n"/>
      <c r="E281" s="9" t="n"/>
      <c r="F281" s="9" t="n"/>
      <c r="G281" s="9" t="n"/>
      <c r="H281" s="9" t="n"/>
      <c r="I281" s="9" t="n"/>
      <c r="J281" s="9" t="n"/>
      <c r="K281" s="9" t="n"/>
      <c r="L281" s="9" t="n"/>
      <c r="M281" s="9" t="n"/>
      <c r="N281" s="8">
        <f>IF(COUNT(I281:M281)=5,SUM(I281:M281),"")</f>
        <v/>
      </c>
      <c r="O281" s="9">
        <f>IF(N281="","",IF(N281&gt;=16,"Priority",IF(N281&gt;=12,"Active",IF(N281&gt;=8,"Nurture / research","Park"))))</f>
        <v/>
      </c>
      <c r="P281" s="9" t="n"/>
      <c r="Q281" s="9" t="n"/>
      <c r="R281" s="9" t="n"/>
      <c r="S281" s="9" t="n"/>
      <c r="T281" s="9">
        <f>IF(OR(S281="",P281="Won",P281="Lost",P281="Disqualified"),"",IF(TODAY()&gt;S281,TODAY()-S281,0))</f>
        <v/>
      </c>
      <c r="U281" s="9" t="n"/>
      <c r="V281" s="9" t="n"/>
      <c r="W281" s="9" t="n"/>
      <c r="X281" s="9">
        <f>IF(C281="","",IF(COUNTIF($C$4:$C$403,C281)&gt;1,"DUPLICATE",""))</f>
        <v/>
      </c>
      <c r="Y281" s="9" t="n"/>
    </row>
    <row r="282">
      <c r="A282" s="9" t="n"/>
      <c r="B282" s="9" t="n"/>
      <c r="C282" s="9" t="n"/>
      <c r="D282" s="9" t="n"/>
      <c r="E282" s="9" t="n"/>
      <c r="F282" s="9" t="n"/>
      <c r="G282" s="9" t="n"/>
      <c r="H282" s="9" t="n"/>
      <c r="I282" s="9" t="n"/>
      <c r="J282" s="9" t="n"/>
      <c r="K282" s="9" t="n"/>
      <c r="L282" s="9" t="n"/>
      <c r="M282" s="9" t="n"/>
      <c r="N282" s="8">
        <f>IF(COUNT(I282:M282)=5,SUM(I282:M282),"")</f>
        <v/>
      </c>
      <c r="O282" s="9">
        <f>IF(N282="","",IF(N282&gt;=16,"Priority",IF(N282&gt;=12,"Active",IF(N282&gt;=8,"Nurture / research","Park"))))</f>
        <v/>
      </c>
      <c r="P282" s="9" t="n"/>
      <c r="Q282" s="9" t="n"/>
      <c r="R282" s="9" t="n"/>
      <c r="S282" s="9" t="n"/>
      <c r="T282" s="9">
        <f>IF(OR(S282="",P282="Won",P282="Lost",P282="Disqualified"),"",IF(TODAY()&gt;S282,TODAY()-S282,0))</f>
        <v/>
      </c>
      <c r="U282" s="9" t="n"/>
      <c r="V282" s="9" t="n"/>
      <c r="W282" s="9" t="n"/>
      <c r="X282" s="9">
        <f>IF(C282="","",IF(COUNTIF($C$4:$C$403,C282)&gt;1,"DUPLICATE",""))</f>
        <v/>
      </c>
      <c r="Y282" s="9" t="n"/>
    </row>
    <row r="283">
      <c r="A283" s="9" t="n"/>
      <c r="B283" s="9" t="n"/>
      <c r="C283" s="9" t="n"/>
      <c r="D283" s="9" t="n"/>
      <c r="E283" s="9" t="n"/>
      <c r="F283" s="9" t="n"/>
      <c r="G283" s="9" t="n"/>
      <c r="H283" s="9" t="n"/>
      <c r="I283" s="9" t="n"/>
      <c r="J283" s="9" t="n"/>
      <c r="K283" s="9" t="n"/>
      <c r="L283" s="9" t="n"/>
      <c r="M283" s="9" t="n"/>
      <c r="N283" s="8">
        <f>IF(COUNT(I283:M283)=5,SUM(I283:M283),"")</f>
        <v/>
      </c>
      <c r="O283" s="9">
        <f>IF(N283="","",IF(N283&gt;=16,"Priority",IF(N283&gt;=12,"Active",IF(N283&gt;=8,"Nurture / research","Park"))))</f>
        <v/>
      </c>
      <c r="P283" s="9" t="n"/>
      <c r="Q283" s="9" t="n"/>
      <c r="R283" s="9" t="n"/>
      <c r="S283" s="9" t="n"/>
      <c r="T283" s="9">
        <f>IF(OR(S283="",P283="Won",P283="Lost",P283="Disqualified"),"",IF(TODAY()&gt;S283,TODAY()-S283,0))</f>
        <v/>
      </c>
      <c r="U283" s="9" t="n"/>
      <c r="V283" s="9" t="n"/>
      <c r="W283" s="9" t="n"/>
      <c r="X283" s="9">
        <f>IF(C283="","",IF(COUNTIF($C$4:$C$403,C283)&gt;1,"DUPLICATE",""))</f>
        <v/>
      </c>
      <c r="Y283" s="9" t="n"/>
    </row>
    <row r="284">
      <c r="A284" s="9" t="n"/>
      <c r="B284" s="9" t="n"/>
      <c r="C284" s="9" t="n"/>
      <c r="D284" s="9" t="n"/>
      <c r="E284" s="9" t="n"/>
      <c r="F284" s="9" t="n"/>
      <c r="G284" s="9" t="n"/>
      <c r="H284" s="9" t="n"/>
      <c r="I284" s="9" t="n"/>
      <c r="J284" s="9" t="n"/>
      <c r="K284" s="9" t="n"/>
      <c r="L284" s="9" t="n"/>
      <c r="M284" s="9" t="n"/>
      <c r="N284" s="8">
        <f>IF(COUNT(I284:M284)=5,SUM(I284:M284),"")</f>
        <v/>
      </c>
      <c r="O284" s="9">
        <f>IF(N284="","",IF(N284&gt;=16,"Priority",IF(N284&gt;=12,"Active",IF(N284&gt;=8,"Nurture / research","Park"))))</f>
        <v/>
      </c>
      <c r="P284" s="9" t="n"/>
      <c r="Q284" s="9" t="n"/>
      <c r="R284" s="9" t="n"/>
      <c r="S284" s="9" t="n"/>
      <c r="T284" s="9">
        <f>IF(OR(S284="",P284="Won",P284="Lost",P284="Disqualified"),"",IF(TODAY()&gt;S284,TODAY()-S284,0))</f>
        <v/>
      </c>
      <c r="U284" s="9" t="n"/>
      <c r="V284" s="9" t="n"/>
      <c r="W284" s="9" t="n"/>
      <c r="X284" s="9">
        <f>IF(C284="","",IF(COUNTIF($C$4:$C$403,C284)&gt;1,"DUPLICATE",""))</f>
        <v/>
      </c>
      <c r="Y284" s="9" t="n"/>
    </row>
    <row r="285">
      <c r="A285" s="9" t="n"/>
      <c r="B285" s="9" t="n"/>
      <c r="C285" s="9" t="n"/>
      <c r="D285" s="9" t="n"/>
      <c r="E285" s="9" t="n"/>
      <c r="F285" s="9" t="n"/>
      <c r="G285" s="9" t="n"/>
      <c r="H285" s="9" t="n"/>
      <c r="I285" s="9" t="n"/>
      <c r="J285" s="9" t="n"/>
      <c r="K285" s="9" t="n"/>
      <c r="L285" s="9" t="n"/>
      <c r="M285" s="9" t="n"/>
      <c r="N285" s="8">
        <f>IF(COUNT(I285:M285)=5,SUM(I285:M285),"")</f>
        <v/>
      </c>
      <c r="O285" s="9">
        <f>IF(N285="","",IF(N285&gt;=16,"Priority",IF(N285&gt;=12,"Active",IF(N285&gt;=8,"Nurture / research","Park"))))</f>
        <v/>
      </c>
      <c r="P285" s="9" t="n"/>
      <c r="Q285" s="9" t="n"/>
      <c r="R285" s="9" t="n"/>
      <c r="S285" s="9" t="n"/>
      <c r="T285" s="9">
        <f>IF(OR(S285="",P285="Won",P285="Lost",P285="Disqualified"),"",IF(TODAY()&gt;S285,TODAY()-S285,0))</f>
        <v/>
      </c>
      <c r="U285" s="9" t="n"/>
      <c r="V285" s="9" t="n"/>
      <c r="W285" s="9" t="n"/>
      <c r="X285" s="9">
        <f>IF(C285="","",IF(COUNTIF($C$4:$C$403,C285)&gt;1,"DUPLICATE",""))</f>
        <v/>
      </c>
      <c r="Y285" s="9" t="n"/>
    </row>
    <row r="286">
      <c r="A286" s="9" t="n"/>
      <c r="B286" s="9" t="n"/>
      <c r="C286" s="9" t="n"/>
      <c r="D286" s="9" t="n"/>
      <c r="E286" s="9" t="n"/>
      <c r="F286" s="9" t="n"/>
      <c r="G286" s="9" t="n"/>
      <c r="H286" s="9" t="n"/>
      <c r="I286" s="9" t="n"/>
      <c r="J286" s="9" t="n"/>
      <c r="K286" s="9" t="n"/>
      <c r="L286" s="9" t="n"/>
      <c r="M286" s="9" t="n"/>
      <c r="N286" s="8">
        <f>IF(COUNT(I286:M286)=5,SUM(I286:M286),"")</f>
        <v/>
      </c>
      <c r="O286" s="9">
        <f>IF(N286="","",IF(N286&gt;=16,"Priority",IF(N286&gt;=12,"Active",IF(N286&gt;=8,"Nurture / research","Park"))))</f>
        <v/>
      </c>
      <c r="P286" s="9" t="n"/>
      <c r="Q286" s="9" t="n"/>
      <c r="R286" s="9" t="n"/>
      <c r="S286" s="9" t="n"/>
      <c r="T286" s="9">
        <f>IF(OR(S286="",P286="Won",P286="Lost",P286="Disqualified"),"",IF(TODAY()&gt;S286,TODAY()-S286,0))</f>
        <v/>
      </c>
      <c r="U286" s="9" t="n"/>
      <c r="V286" s="9" t="n"/>
      <c r="W286" s="9" t="n"/>
      <c r="X286" s="9">
        <f>IF(C286="","",IF(COUNTIF($C$4:$C$403,C286)&gt;1,"DUPLICATE",""))</f>
        <v/>
      </c>
      <c r="Y286" s="9" t="n"/>
    </row>
    <row r="287">
      <c r="A287" s="9" t="n"/>
      <c r="B287" s="9" t="n"/>
      <c r="C287" s="9" t="n"/>
      <c r="D287" s="9" t="n"/>
      <c r="E287" s="9" t="n"/>
      <c r="F287" s="9" t="n"/>
      <c r="G287" s="9" t="n"/>
      <c r="H287" s="9" t="n"/>
      <c r="I287" s="9" t="n"/>
      <c r="J287" s="9" t="n"/>
      <c r="K287" s="9" t="n"/>
      <c r="L287" s="9" t="n"/>
      <c r="M287" s="9" t="n"/>
      <c r="N287" s="8">
        <f>IF(COUNT(I287:M287)=5,SUM(I287:M287),"")</f>
        <v/>
      </c>
      <c r="O287" s="9">
        <f>IF(N287="","",IF(N287&gt;=16,"Priority",IF(N287&gt;=12,"Active",IF(N287&gt;=8,"Nurture / research","Park"))))</f>
        <v/>
      </c>
      <c r="P287" s="9" t="n"/>
      <c r="Q287" s="9" t="n"/>
      <c r="R287" s="9" t="n"/>
      <c r="S287" s="9" t="n"/>
      <c r="T287" s="9">
        <f>IF(OR(S287="",P287="Won",P287="Lost",P287="Disqualified"),"",IF(TODAY()&gt;S287,TODAY()-S287,0))</f>
        <v/>
      </c>
      <c r="U287" s="9" t="n"/>
      <c r="V287" s="9" t="n"/>
      <c r="W287" s="9" t="n"/>
      <c r="X287" s="9">
        <f>IF(C287="","",IF(COUNTIF($C$4:$C$403,C287)&gt;1,"DUPLICATE",""))</f>
        <v/>
      </c>
      <c r="Y287" s="9" t="n"/>
    </row>
    <row r="288">
      <c r="A288" s="9" t="n"/>
      <c r="B288" s="9" t="n"/>
      <c r="C288" s="9" t="n"/>
      <c r="D288" s="9" t="n"/>
      <c r="E288" s="9" t="n"/>
      <c r="F288" s="9" t="n"/>
      <c r="G288" s="9" t="n"/>
      <c r="H288" s="9" t="n"/>
      <c r="I288" s="9" t="n"/>
      <c r="J288" s="9" t="n"/>
      <c r="K288" s="9" t="n"/>
      <c r="L288" s="9" t="n"/>
      <c r="M288" s="9" t="n"/>
      <c r="N288" s="8">
        <f>IF(COUNT(I288:M288)=5,SUM(I288:M288),"")</f>
        <v/>
      </c>
      <c r="O288" s="9">
        <f>IF(N288="","",IF(N288&gt;=16,"Priority",IF(N288&gt;=12,"Active",IF(N288&gt;=8,"Nurture / research","Park"))))</f>
        <v/>
      </c>
      <c r="P288" s="9" t="n"/>
      <c r="Q288" s="9" t="n"/>
      <c r="R288" s="9" t="n"/>
      <c r="S288" s="9" t="n"/>
      <c r="T288" s="9">
        <f>IF(OR(S288="",P288="Won",P288="Lost",P288="Disqualified"),"",IF(TODAY()&gt;S288,TODAY()-S288,0))</f>
        <v/>
      </c>
      <c r="U288" s="9" t="n"/>
      <c r="V288" s="9" t="n"/>
      <c r="W288" s="9" t="n"/>
      <c r="X288" s="9">
        <f>IF(C288="","",IF(COUNTIF($C$4:$C$403,C288)&gt;1,"DUPLICATE",""))</f>
        <v/>
      </c>
      <c r="Y288" s="9" t="n"/>
    </row>
    <row r="289">
      <c r="A289" s="9" t="n"/>
      <c r="B289" s="9" t="n"/>
      <c r="C289" s="9" t="n"/>
      <c r="D289" s="9" t="n"/>
      <c r="E289" s="9" t="n"/>
      <c r="F289" s="9" t="n"/>
      <c r="G289" s="9" t="n"/>
      <c r="H289" s="9" t="n"/>
      <c r="I289" s="9" t="n"/>
      <c r="J289" s="9" t="n"/>
      <c r="K289" s="9" t="n"/>
      <c r="L289" s="9" t="n"/>
      <c r="M289" s="9" t="n"/>
      <c r="N289" s="8">
        <f>IF(COUNT(I289:M289)=5,SUM(I289:M289),"")</f>
        <v/>
      </c>
      <c r="O289" s="9">
        <f>IF(N289="","",IF(N289&gt;=16,"Priority",IF(N289&gt;=12,"Active",IF(N289&gt;=8,"Nurture / research","Park"))))</f>
        <v/>
      </c>
      <c r="P289" s="9" t="n"/>
      <c r="Q289" s="9" t="n"/>
      <c r="R289" s="9" t="n"/>
      <c r="S289" s="9" t="n"/>
      <c r="T289" s="9">
        <f>IF(OR(S289="",P289="Won",P289="Lost",P289="Disqualified"),"",IF(TODAY()&gt;S289,TODAY()-S289,0))</f>
        <v/>
      </c>
      <c r="U289" s="9" t="n"/>
      <c r="V289" s="9" t="n"/>
      <c r="W289" s="9" t="n"/>
      <c r="X289" s="9">
        <f>IF(C289="","",IF(COUNTIF($C$4:$C$403,C289)&gt;1,"DUPLICATE",""))</f>
        <v/>
      </c>
      <c r="Y289" s="9" t="n"/>
    </row>
    <row r="290">
      <c r="A290" s="9" t="n"/>
      <c r="B290" s="9" t="n"/>
      <c r="C290" s="9" t="n"/>
      <c r="D290" s="9" t="n"/>
      <c r="E290" s="9" t="n"/>
      <c r="F290" s="9" t="n"/>
      <c r="G290" s="9" t="n"/>
      <c r="H290" s="9" t="n"/>
      <c r="I290" s="9" t="n"/>
      <c r="J290" s="9" t="n"/>
      <c r="K290" s="9" t="n"/>
      <c r="L290" s="9" t="n"/>
      <c r="M290" s="9" t="n"/>
      <c r="N290" s="8">
        <f>IF(COUNT(I290:M290)=5,SUM(I290:M290),"")</f>
        <v/>
      </c>
      <c r="O290" s="9">
        <f>IF(N290="","",IF(N290&gt;=16,"Priority",IF(N290&gt;=12,"Active",IF(N290&gt;=8,"Nurture / research","Park"))))</f>
        <v/>
      </c>
      <c r="P290" s="9" t="n"/>
      <c r="Q290" s="9" t="n"/>
      <c r="R290" s="9" t="n"/>
      <c r="S290" s="9" t="n"/>
      <c r="T290" s="9">
        <f>IF(OR(S290="",P290="Won",P290="Lost",P290="Disqualified"),"",IF(TODAY()&gt;S290,TODAY()-S290,0))</f>
        <v/>
      </c>
      <c r="U290" s="9" t="n"/>
      <c r="V290" s="9" t="n"/>
      <c r="W290" s="9" t="n"/>
      <c r="X290" s="9">
        <f>IF(C290="","",IF(COUNTIF($C$4:$C$403,C290)&gt;1,"DUPLICATE",""))</f>
        <v/>
      </c>
      <c r="Y290" s="9" t="n"/>
    </row>
    <row r="291">
      <c r="A291" s="9" t="n"/>
      <c r="B291" s="9" t="n"/>
      <c r="C291" s="9" t="n"/>
      <c r="D291" s="9" t="n"/>
      <c r="E291" s="9" t="n"/>
      <c r="F291" s="9" t="n"/>
      <c r="G291" s="9" t="n"/>
      <c r="H291" s="9" t="n"/>
      <c r="I291" s="9" t="n"/>
      <c r="J291" s="9" t="n"/>
      <c r="K291" s="9" t="n"/>
      <c r="L291" s="9" t="n"/>
      <c r="M291" s="9" t="n"/>
      <c r="N291" s="8">
        <f>IF(COUNT(I291:M291)=5,SUM(I291:M291),"")</f>
        <v/>
      </c>
      <c r="O291" s="9">
        <f>IF(N291="","",IF(N291&gt;=16,"Priority",IF(N291&gt;=12,"Active",IF(N291&gt;=8,"Nurture / research","Park"))))</f>
        <v/>
      </c>
      <c r="P291" s="9" t="n"/>
      <c r="Q291" s="9" t="n"/>
      <c r="R291" s="9" t="n"/>
      <c r="S291" s="9" t="n"/>
      <c r="T291" s="9">
        <f>IF(OR(S291="",P291="Won",P291="Lost",P291="Disqualified"),"",IF(TODAY()&gt;S291,TODAY()-S291,0))</f>
        <v/>
      </c>
      <c r="U291" s="9" t="n"/>
      <c r="V291" s="9" t="n"/>
      <c r="W291" s="9" t="n"/>
      <c r="X291" s="9">
        <f>IF(C291="","",IF(COUNTIF($C$4:$C$403,C291)&gt;1,"DUPLICATE",""))</f>
        <v/>
      </c>
      <c r="Y291" s="9" t="n"/>
    </row>
    <row r="292">
      <c r="A292" s="9" t="n"/>
      <c r="B292" s="9" t="n"/>
      <c r="C292" s="9" t="n"/>
      <c r="D292" s="9" t="n"/>
      <c r="E292" s="9" t="n"/>
      <c r="F292" s="9" t="n"/>
      <c r="G292" s="9" t="n"/>
      <c r="H292" s="9" t="n"/>
      <c r="I292" s="9" t="n"/>
      <c r="J292" s="9" t="n"/>
      <c r="K292" s="9" t="n"/>
      <c r="L292" s="9" t="n"/>
      <c r="M292" s="9" t="n"/>
      <c r="N292" s="8">
        <f>IF(COUNT(I292:M292)=5,SUM(I292:M292),"")</f>
        <v/>
      </c>
      <c r="O292" s="9">
        <f>IF(N292="","",IF(N292&gt;=16,"Priority",IF(N292&gt;=12,"Active",IF(N292&gt;=8,"Nurture / research","Park"))))</f>
        <v/>
      </c>
      <c r="P292" s="9" t="n"/>
      <c r="Q292" s="9" t="n"/>
      <c r="R292" s="9" t="n"/>
      <c r="S292" s="9" t="n"/>
      <c r="T292" s="9">
        <f>IF(OR(S292="",P292="Won",P292="Lost",P292="Disqualified"),"",IF(TODAY()&gt;S292,TODAY()-S292,0))</f>
        <v/>
      </c>
      <c r="U292" s="9" t="n"/>
      <c r="V292" s="9" t="n"/>
      <c r="W292" s="9" t="n"/>
      <c r="X292" s="9">
        <f>IF(C292="","",IF(COUNTIF($C$4:$C$403,C292)&gt;1,"DUPLICATE",""))</f>
        <v/>
      </c>
      <c r="Y292" s="9" t="n"/>
    </row>
    <row r="293">
      <c r="A293" s="9" t="n"/>
      <c r="B293" s="9" t="n"/>
      <c r="C293" s="9" t="n"/>
      <c r="D293" s="9" t="n"/>
      <c r="E293" s="9" t="n"/>
      <c r="F293" s="9" t="n"/>
      <c r="G293" s="9" t="n"/>
      <c r="H293" s="9" t="n"/>
      <c r="I293" s="9" t="n"/>
      <c r="J293" s="9" t="n"/>
      <c r="K293" s="9" t="n"/>
      <c r="L293" s="9" t="n"/>
      <c r="M293" s="9" t="n"/>
      <c r="N293" s="8">
        <f>IF(COUNT(I293:M293)=5,SUM(I293:M293),"")</f>
        <v/>
      </c>
      <c r="O293" s="9">
        <f>IF(N293="","",IF(N293&gt;=16,"Priority",IF(N293&gt;=12,"Active",IF(N293&gt;=8,"Nurture / research","Park"))))</f>
        <v/>
      </c>
      <c r="P293" s="9" t="n"/>
      <c r="Q293" s="9" t="n"/>
      <c r="R293" s="9" t="n"/>
      <c r="S293" s="9" t="n"/>
      <c r="T293" s="9">
        <f>IF(OR(S293="",P293="Won",P293="Lost",P293="Disqualified"),"",IF(TODAY()&gt;S293,TODAY()-S293,0))</f>
        <v/>
      </c>
      <c r="U293" s="9" t="n"/>
      <c r="V293" s="9" t="n"/>
      <c r="W293" s="9" t="n"/>
      <c r="X293" s="9">
        <f>IF(C293="","",IF(COUNTIF($C$4:$C$403,C293)&gt;1,"DUPLICATE",""))</f>
        <v/>
      </c>
      <c r="Y293" s="9" t="n"/>
    </row>
    <row r="294">
      <c r="A294" s="9" t="n"/>
      <c r="B294" s="9" t="n"/>
      <c r="C294" s="9" t="n"/>
      <c r="D294" s="9" t="n"/>
      <c r="E294" s="9" t="n"/>
      <c r="F294" s="9" t="n"/>
      <c r="G294" s="9" t="n"/>
      <c r="H294" s="9" t="n"/>
      <c r="I294" s="9" t="n"/>
      <c r="J294" s="9" t="n"/>
      <c r="K294" s="9" t="n"/>
      <c r="L294" s="9" t="n"/>
      <c r="M294" s="9" t="n"/>
      <c r="N294" s="8">
        <f>IF(COUNT(I294:M294)=5,SUM(I294:M294),"")</f>
        <v/>
      </c>
      <c r="O294" s="9">
        <f>IF(N294="","",IF(N294&gt;=16,"Priority",IF(N294&gt;=12,"Active",IF(N294&gt;=8,"Nurture / research","Park"))))</f>
        <v/>
      </c>
      <c r="P294" s="9" t="n"/>
      <c r="Q294" s="9" t="n"/>
      <c r="R294" s="9" t="n"/>
      <c r="S294" s="9" t="n"/>
      <c r="T294" s="9">
        <f>IF(OR(S294="",P294="Won",P294="Lost",P294="Disqualified"),"",IF(TODAY()&gt;S294,TODAY()-S294,0))</f>
        <v/>
      </c>
      <c r="U294" s="9" t="n"/>
      <c r="V294" s="9" t="n"/>
      <c r="W294" s="9" t="n"/>
      <c r="X294" s="9">
        <f>IF(C294="","",IF(COUNTIF($C$4:$C$403,C294)&gt;1,"DUPLICATE",""))</f>
        <v/>
      </c>
      <c r="Y294" s="9" t="n"/>
    </row>
    <row r="295">
      <c r="A295" s="9" t="n"/>
      <c r="B295" s="9" t="n"/>
      <c r="C295" s="9" t="n"/>
      <c r="D295" s="9" t="n"/>
      <c r="E295" s="9" t="n"/>
      <c r="F295" s="9" t="n"/>
      <c r="G295" s="9" t="n"/>
      <c r="H295" s="9" t="n"/>
      <c r="I295" s="9" t="n"/>
      <c r="J295" s="9" t="n"/>
      <c r="K295" s="9" t="n"/>
      <c r="L295" s="9" t="n"/>
      <c r="M295" s="9" t="n"/>
      <c r="N295" s="8">
        <f>IF(COUNT(I295:M295)=5,SUM(I295:M295),"")</f>
        <v/>
      </c>
      <c r="O295" s="9">
        <f>IF(N295="","",IF(N295&gt;=16,"Priority",IF(N295&gt;=12,"Active",IF(N295&gt;=8,"Nurture / research","Park"))))</f>
        <v/>
      </c>
      <c r="P295" s="9" t="n"/>
      <c r="Q295" s="9" t="n"/>
      <c r="R295" s="9" t="n"/>
      <c r="S295" s="9" t="n"/>
      <c r="T295" s="9">
        <f>IF(OR(S295="",P295="Won",P295="Lost",P295="Disqualified"),"",IF(TODAY()&gt;S295,TODAY()-S295,0))</f>
        <v/>
      </c>
      <c r="U295" s="9" t="n"/>
      <c r="V295" s="9" t="n"/>
      <c r="W295" s="9" t="n"/>
      <c r="X295" s="9">
        <f>IF(C295="","",IF(COUNTIF($C$4:$C$403,C295)&gt;1,"DUPLICATE",""))</f>
        <v/>
      </c>
      <c r="Y295" s="9" t="n"/>
    </row>
    <row r="296">
      <c r="A296" s="9" t="n"/>
      <c r="B296" s="9" t="n"/>
      <c r="C296" s="9" t="n"/>
      <c r="D296" s="9" t="n"/>
      <c r="E296" s="9" t="n"/>
      <c r="F296" s="9" t="n"/>
      <c r="G296" s="9" t="n"/>
      <c r="H296" s="9" t="n"/>
      <c r="I296" s="9" t="n"/>
      <c r="J296" s="9" t="n"/>
      <c r="K296" s="9" t="n"/>
      <c r="L296" s="9" t="n"/>
      <c r="M296" s="9" t="n"/>
      <c r="N296" s="8">
        <f>IF(COUNT(I296:M296)=5,SUM(I296:M296),"")</f>
        <v/>
      </c>
      <c r="O296" s="9">
        <f>IF(N296="","",IF(N296&gt;=16,"Priority",IF(N296&gt;=12,"Active",IF(N296&gt;=8,"Nurture / research","Park"))))</f>
        <v/>
      </c>
      <c r="P296" s="9" t="n"/>
      <c r="Q296" s="9" t="n"/>
      <c r="R296" s="9" t="n"/>
      <c r="S296" s="9" t="n"/>
      <c r="T296" s="9">
        <f>IF(OR(S296="",P296="Won",P296="Lost",P296="Disqualified"),"",IF(TODAY()&gt;S296,TODAY()-S296,0))</f>
        <v/>
      </c>
      <c r="U296" s="9" t="n"/>
      <c r="V296" s="9" t="n"/>
      <c r="W296" s="9" t="n"/>
      <c r="X296" s="9">
        <f>IF(C296="","",IF(COUNTIF($C$4:$C$403,C296)&gt;1,"DUPLICATE",""))</f>
        <v/>
      </c>
      <c r="Y296" s="9" t="n"/>
    </row>
    <row r="297">
      <c r="A297" s="9" t="n"/>
      <c r="B297" s="9" t="n"/>
      <c r="C297" s="9" t="n"/>
      <c r="D297" s="9" t="n"/>
      <c r="E297" s="9" t="n"/>
      <c r="F297" s="9" t="n"/>
      <c r="G297" s="9" t="n"/>
      <c r="H297" s="9" t="n"/>
      <c r="I297" s="9" t="n"/>
      <c r="J297" s="9" t="n"/>
      <c r="K297" s="9" t="n"/>
      <c r="L297" s="9" t="n"/>
      <c r="M297" s="9" t="n"/>
      <c r="N297" s="8">
        <f>IF(COUNT(I297:M297)=5,SUM(I297:M297),"")</f>
        <v/>
      </c>
      <c r="O297" s="9">
        <f>IF(N297="","",IF(N297&gt;=16,"Priority",IF(N297&gt;=12,"Active",IF(N297&gt;=8,"Nurture / research","Park"))))</f>
        <v/>
      </c>
      <c r="P297" s="9" t="n"/>
      <c r="Q297" s="9" t="n"/>
      <c r="R297" s="9" t="n"/>
      <c r="S297" s="9" t="n"/>
      <c r="T297" s="9">
        <f>IF(OR(S297="",P297="Won",P297="Lost",P297="Disqualified"),"",IF(TODAY()&gt;S297,TODAY()-S297,0))</f>
        <v/>
      </c>
      <c r="U297" s="9" t="n"/>
      <c r="V297" s="9" t="n"/>
      <c r="W297" s="9" t="n"/>
      <c r="X297" s="9">
        <f>IF(C297="","",IF(COUNTIF($C$4:$C$403,C297)&gt;1,"DUPLICATE",""))</f>
        <v/>
      </c>
      <c r="Y297" s="9" t="n"/>
    </row>
    <row r="298">
      <c r="A298" s="9" t="n"/>
      <c r="B298" s="9" t="n"/>
      <c r="C298" s="9" t="n"/>
      <c r="D298" s="9" t="n"/>
      <c r="E298" s="9" t="n"/>
      <c r="F298" s="9" t="n"/>
      <c r="G298" s="9" t="n"/>
      <c r="H298" s="9" t="n"/>
      <c r="I298" s="9" t="n"/>
      <c r="J298" s="9" t="n"/>
      <c r="K298" s="9" t="n"/>
      <c r="L298" s="9" t="n"/>
      <c r="M298" s="9" t="n"/>
      <c r="N298" s="8">
        <f>IF(COUNT(I298:M298)=5,SUM(I298:M298),"")</f>
        <v/>
      </c>
      <c r="O298" s="9">
        <f>IF(N298="","",IF(N298&gt;=16,"Priority",IF(N298&gt;=12,"Active",IF(N298&gt;=8,"Nurture / research","Park"))))</f>
        <v/>
      </c>
      <c r="P298" s="9" t="n"/>
      <c r="Q298" s="9" t="n"/>
      <c r="R298" s="9" t="n"/>
      <c r="S298" s="9" t="n"/>
      <c r="T298" s="9">
        <f>IF(OR(S298="",P298="Won",P298="Lost",P298="Disqualified"),"",IF(TODAY()&gt;S298,TODAY()-S298,0))</f>
        <v/>
      </c>
      <c r="U298" s="9" t="n"/>
      <c r="V298" s="9" t="n"/>
      <c r="W298" s="9" t="n"/>
      <c r="X298" s="9">
        <f>IF(C298="","",IF(COUNTIF($C$4:$C$403,C298)&gt;1,"DUPLICATE",""))</f>
        <v/>
      </c>
      <c r="Y298" s="9" t="n"/>
    </row>
    <row r="299">
      <c r="A299" s="9" t="n"/>
      <c r="B299" s="9" t="n"/>
      <c r="C299" s="9" t="n"/>
      <c r="D299" s="9" t="n"/>
      <c r="E299" s="9" t="n"/>
      <c r="F299" s="9" t="n"/>
      <c r="G299" s="9" t="n"/>
      <c r="H299" s="9" t="n"/>
      <c r="I299" s="9" t="n"/>
      <c r="J299" s="9" t="n"/>
      <c r="K299" s="9" t="n"/>
      <c r="L299" s="9" t="n"/>
      <c r="M299" s="9" t="n"/>
      <c r="N299" s="8">
        <f>IF(COUNT(I299:M299)=5,SUM(I299:M299),"")</f>
        <v/>
      </c>
      <c r="O299" s="9">
        <f>IF(N299="","",IF(N299&gt;=16,"Priority",IF(N299&gt;=12,"Active",IF(N299&gt;=8,"Nurture / research","Park"))))</f>
        <v/>
      </c>
      <c r="P299" s="9" t="n"/>
      <c r="Q299" s="9" t="n"/>
      <c r="R299" s="9" t="n"/>
      <c r="S299" s="9" t="n"/>
      <c r="T299" s="9">
        <f>IF(OR(S299="",P299="Won",P299="Lost",P299="Disqualified"),"",IF(TODAY()&gt;S299,TODAY()-S299,0))</f>
        <v/>
      </c>
      <c r="U299" s="9" t="n"/>
      <c r="V299" s="9" t="n"/>
      <c r="W299" s="9" t="n"/>
      <c r="X299" s="9">
        <f>IF(C299="","",IF(COUNTIF($C$4:$C$403,C299)&gt;1,"DUPLICATE",""))</f>
        <v/>
      </c>
      <c r="Y299" s="9" t="n"/>
    </row>
    <row r="300">
      <c r="A300" s="9" t="n"/>
      <c r="B300" s="9" t="n"/>
      <c r="C300" s="9" t="n"/>
      <c r="D300" s="9" t="n"/>
      <c r="E300" s="9" t="n"/>
      <c r="F300" s="9" t="n"/>
      <c r="G300" s="9" t="n"/>
      <c r="H300" s="9" t="n"/>
      <c r="I300" s="9" t="n"/>
      <c r="J300" s="9" t="n"/>
      <c r="K300" s="9" t="n"/>
      <c r="L300" s="9" t="n"/>
      <c r="M300" s="9" t="n"/>
      <c r="N300" s="8">
        <f>IF(COUNT(I300:M300)=5,SUM(I300:M300),"")</f>
        <v/>
      </c>
      <c r="O300" s="9">
        <f>IF(N300="","",IF(N300&gt;=16,"Priority",IF(N300&gt;=12,"Active",IF(N300&gt;=8,"Nurture / research","Park"))))</f>
        <v/>
      </c>
      <c r="P300" s="9" t="n"/>
      <c r="Q300" s="9" t="n"/>
      <c r="R300" s="9" t="n"/>
      <c r="S300" s="9" t="n"/>
      <c r="T300" s="9">
        <f>IF(OR(S300="",P300="Won",P300="Lost",P300="Disqualified"),"",IF(TODAY()&gt;S300,TODAY()-S300,0))</f>
        <v/>
      </c>
      <c r="U300" s="9" t="n"/>
      <c r="V300" s="9" t="n"/>
      <c r="W300" s="9" t="n"/>
      <c r="X300" s="9">
        <f>IF(C300="","",IF(COUNTIF($C$4:$C$403,C300)&gt;1,"DUPLICATE",""))</f>
        <v/>
      </c>
      <c r="Y300" s="9" t="n"/>
    </row>
    <row r="301">
      <c r="A301" s="9" t="n"/>
      <c r="B301" s="9" t="n"/>
      <c r="C301" s="9" t="n"/>
      <c r="D301" s="9" t="n"/>
      <c r="E301" s="9" t="n"/>
      <c r="F301" s="9" t="n"/>
      <c r="G301" s="9" t="n"/>
      <c r="H301" s="9" t="n"/>
      <c r="I301" s="9" t="n"/>
      <c r="J301" s="9" t="n"/>
      <c r="K301" s="9" t="n"/>
      <c r="L301" s="9" t="n"/>
      <c r="M301" s="9" t="n"/>
      <c r="N301" s="8">
        <f>IF(COUNT(I301:M301)=5,SUM(I301:M301),"")</f>
        <v/>
      </c>
      <c r="O301" s="9">
        <f>IF(N301="","",IF(N301&gt;=16,"Priority",IF(N301&gt;=12,"Active",IF(N301&gt;=8,"Nurture / research","Park"))))</f>
        <v/>
      </c>
      <c r="P301" s="9" t="n"/>
      <c r="Q301" s="9" t="n"/>
      <c r="R301" s="9" t="n"/>
      <c r="S301" s="9" t="n"/>
      <c r="T301" s="9">
        <f>IF(OR(S301="",P301="Won",P301="Lost",P301="Disqualified"),"",IF(TODAY()&gt;S301,TODAY()-S301,0))</f>
        <v/>
      </c>
      <c r="U301" s="9" t="n"/>
      <c r="V301" s="9" t="n"/>
      <c r="W301" s="9" t="n"/>
      <c r="X301" s="9">
        <f>IF(C301="","",IF(COUNTIF($C$4:$C$403,C301)&gt;1,"DUPLICATE",""))</f>
        <v/>
      </c>
      <c r="Y301" s="9" t="n"/>
    </row>
    <row r="302">
      <c r="A302" s="9" t="n"/>
      <c r="B302" s="9" t="n"/>
      <c r="C302" s="9" t="n"/>
      <c r="D302" s="9" t="n"/>
      <c r="E302" s="9" t="n"/>
      <c r="F302" s="9" t="n"/>
      <c r="G302" s="9" t="n"/>
      <c r="H302" s="9" t="n"/>
      <c r="I302" s="9" t="n"/>
      <c r="J302" s="9" t="n"/>
      <c r="K302" s="9" t="n"/>
      <c r="L302" s="9" t="n"/>
      <c r="M302" s="9" t="n"/>
      <c r="N302" s="8">
        <f>IF(COUNT(I302:M302)=5,SUM(I302:M302),"")</f>
        <v/>
      </c>
      <c r="O302" s="9">
        <f>IF(N302="","",IF(N302&gt;=16,"Priority",IF(N302&gt;=12,"Active",IF(N302&gt;=8,"Nurture / research","Park"))))</f>
        <v/>
      </c>
      <c r="P302" s="9" t="n"/>
      <c r="Q302" s="9" t="n"/>
      <c r="R302" s="9" t="n"/>
      <c r="S302" s="9" t="n"/>
      <c r="T302" s="9">
        <f>IF(OR(S302="",P302="Won",P302="Lost",P302="Disqualified"),"",IF(TODAY()&gt;S302,TODAY()-S302,0))</f>
        <v/>
      </c>
      <c r="U302" s="9" t="n"/>
      <c r="V302" s="9" t="n"/>
      <c r="W302" s="9" t="n"/>
      <c r="X302" s="9">
        <f>IF(C302="","",IF(COUNTIF($C$4:$C$403,C302)&gt;1,"DUPLICATE",""))</f>
        <v/>
      </c>
      <c r="Y302" s="9" t="n"/>
    </row>
    <row r="303">
      <c r="A303" s="9" t="n"/>
      <c r="B303" s="9" t="n"/>
      <c r="C303" s="9" t="n"/>
      <c r="D303" s="9" t="n"/>
      <c r="E303" s="9" t="n"/>
      <c r="F303" s="9" t="n"/>
      <c r="G303" s="9" t="n"/>
      <c r="H303" s="9" t="n"/>
      <c r="I303" s="9" t="n"/>
      <c r="J303" s="9" t="n"/>
      <c r="K303" s="9" t="n"/>
      <c r="L303" s="9" t="n"/>
      <c r="M303" s="9" t="n"/>
      <c r="N303" s="8">
        <f>IF(COUNT(I303:M303)=5,SUM(I303:M303),"")</f>
        <v/>
      </c>
      <c r="O303" s="9">
        <f>IF(N303="","",IF(N303&gt;=16,"Priority",IF(N303&gt;=12,"Active",IF(N303&gt;=8,"Nurture / research","Park"))))</f>
        <v/>
      </c>
      <c r="P303" s="9" t="n"/>
      <c r="Q303" s="9" t="n"/>
      <c r="R303" s="9" t="n"/>
      <c r="S303" s="9" t="n"/>
      <c r="T303" s="9">
        <f>IF(OR(S303="",P303="Won",P303="Lost",P303="Disqualified"),"",IF(TODAY()&gt;S303,TODAY()-S303,0))</f>
        <v/>
      </c>
      <c r="U303" s="9" t="n"/>
      <c r="V303" s="9" t="n"/>
      <c r="W303" s="9" t="n"/>
      <c r="X303" s="9">
        <f>IF(C303="","",IF(COUNTIF($C$4:$C$403,C303)&gt;1,"DUPLICATE",""))</f>
        <v/>
      </c>
      <c r="Y303" s="9" t="n"/>
    </row>
    <row r="304">
      <c r="A304" s="9" t="n"/>
      <c r="B304" s="9" t="n"/>
      <c r="C304" s="9" t="n"/>
      <c r="D304" s="9" t="n"/>
      <c r="E304" s="9" t="n"/>
      <c r="F304" s="9" t="n"/>
      <c r="G304" s="9" t="n"/>
      <c r="H304" s="9" t="n"/>
      <c r="I304" s="9" t="n"/>
      <c r="J304" s="9" t="n"/>
      <c r="K304" s="9" t="n"/>
      <c r="L304" s="9" t="n"/>
      <c r="M304" s="9" t="n"/>
      <c r="N304" s="8">
        <f>IF(COUNT(I304:M304)=5,SUM(I304:M304),"")</f>
        <v/>
      </c>
      <c r="O304" s="9">
        <f>IF(N304="","",IF(N304&gt;=16,"Priority",IF(N304&gt;=12,"Active",IF(N304&gt;=8,"Nurture / research","Park"))))</f>
        <v/>
      </c>
      <c r="P304" s="9" t="n"/>
      <c r="Q304" s="9" t="n"/>
      <c r="R304" s="9" t="n"/>
      <c r="S304" s="9" t="n"/>
      <c r="T304" s="9">
        <f>IF(OR(S304="",P304="Won",P304="Lost",P304="Disqualified"),"",IF(TODAY()&gt;S304,TODAY()-S304,0))</f>
        <v/>
      </c>
      <c r="U304" s="9" t="n"/>
      <c r="V304" s="9" t="n"/>
      <c r="W304" s="9" t="n"/>
      <c r="X304" s="9">
        <f>IF(C304="","",IF(COUNTIF($C$4:$C$403,C304)&gt;1,"DUPLICATE",""))</f>
        <v/>
      </c>
      <c r="Y304" s="9" t="n"/>
    </row>
    <row r="305">
      <c r="A305" s="9" t="n"/>
      <c r="B305" s="9" t="n"/>
      <c r="C305" s="9" t="n"/>
      <c r="D305" s="9" t="n"/>
      <c r="E305" s="9" t="n"/>
      <c r="F305" s="9" t="n"/>
      <c r="G305" s="9" t="n"/>
      <c r="H305" s="9" t="n"/>
      <c r="I305" s="9" t="n"/>
      <c r="J305" s="9" t="n"/>
      <c r="K305" s="9" t="n"/>
      <c r="L305" s="9" t="n"/>
      <c r="M305" s="9" t="n"/>
      <c r="N305" s="8">
        <f>IF(COUNT(I305:M305)=5,SUM(I305:M305),"")</f>
        <v/>
      </c>
      <c r="O305" s="9">
        <f>IF(N305="","",IF(N305&gt;=16,"Priority",IF(N305&gt;=12,"Active",IF(N305&gt;=8,"Nurture / research","Park"))))</f>
        <v/>
      </c>
      <c r="P305" s="9" t="n"/>
      <c r="Q305" s="9" t="n"/>
      <c r="R305" s="9" t="n"/>
      <c r="S305" s="9" t="n"/>
      <c r="T305" s="9">
        <f>IF(OR(S305="",P305="Won",P305="Lost",P305="Disqualified"),"",IF(TODAY()&gt;S305,TODAY()-S305,0))</f>
        <v/>
      </c>
      <c r="U305" s="9" t="n"/>
      <c r="V305" s="9" t="n"/>
      <c r="W305" s="9" t="n"/>
      <c r="X305" s="9">
        <f>IF(C305="","",IF(COUNTIF($C$4:$C$403,C305)&gt;1,"DUPLICATE",""))</f>
        <v/>
      </c>
      <c r="Y305" s="9" t="n"/>
    </row>
    <row r="306">
      <c r="A306" s="9" t="n"/>
      <c r="B306" s="9" t="n"/>
      <c r="C306" s="9" t="n"/>
      <c r="D306" s="9" t="n"/>
      <c r="E306" s="9" t="n"/>
      <c r="F306" s="9" t="n"/>
      <c r="G306" s="9" t="n"/>
      <c r="H306" s="9" t="n"/>
      <c r="I306" s="9" t="n"/>
      <c r="J306" s="9" t="n"/>
      <c r="K306" s="9" t="n"/>
      <c r="L306" s="9" t="n"/>
      <c r="M306" s="9" t="n"/>
      <c r="N306" s="8">
        <f>IF(COUNT(I306:M306)=5,SUM(I306:M306),"")</f>
        <v/>
      </c>
      <c r="O306" s="9">
        <f>IF(N306="","",IF(N306&gt;=16,"Priority",IF(N306&gt;=12,"Active",IF(N306&gt;=8,"Nurture / research","Park"))))</f>
        <v/>
      </c>
      <c r="P306" s="9" t="n"/>
      <c r="Q306" s="9" t="n"/>
      <c r="R306" s="9" t="n"/>
      <c r="S306" s="9" t="n"/>
      <c r="T306" s="9">
        <f>IF(OR(S306="",P306="Won",P306="Lost",P306="Disqualified"),"",IF(TODAY()&gt;S306,TODAY()-S306,0))</f>
        <v/>
      </c>
      <c r="U306" s="9" t="n"/>
      <c r="V306" s="9" t="n"/>
      <c r="W306" s="9" t="n"/>
      <c r="X306" s="9">
        <f>IF(C306="","",IF(COUNTIF($C$4:$C$403,C306)&gt;1,"DUPLICATE",""))</f>
        <v/>
      </c>
      <c r="Y306" s="9" t="n"/>
    </row>
    <row r="307">
      <c r="A307" s="9" t="n"/>
      <c r="B307" s="9" t="n"/>
      <c r="C307" s="9" t="n"/>
      <c r="D307" s="9" t="n"/>
      <c r="E307" s="9" t="n"/>
      <c r="F307" s="9" t="n"/>
      <c r="G307" s="9" t="n"/>
      <c r="H307" s="9" t="n"/>
      <c r="I307" s="9" t="n"/>
      <c r="J307" s="9" t="n"/>
      <c r="K307" s="9" t="n"/>
      <c r="L307" s="9" t="n"/>
      <c r="M307" s="9" t="n"/>
      <c r="N307" s="8">
        <f>IF(COUNT(I307:M307)=5,SUM(I307:M307),"")</f>
        <v/>
      </c>
      <c r="O307" s="9">
        <f>IF(N307="","",IF(N307&gt;=16,"Priority",IF(N307&gt;=12,"Active",IF(N307&gt;=8,"Nurture / research","Park"))))</f>
        <v/>
      </c>
      <c r="P307" s="9" t="n"/>
      <c r="Q307" s="9" t="n"/>
      <c r="R307" s="9" t="n"/>
      <c r="S307" s="9" t="n"/>
      <c r="T307" s="9">
        <f>IF(OR(S307="",P307="Won",P307="Lost",P307="Disqualified"),"",IF(TODAY()&gt;S307,TODAY()-S307,0))</f>
        <v/>
      </c>
      <c r="U307" s="9" t="n"/>
      <c r="V307" s="9" t="n"/>
      <c r="W307" s="9" t="n"/>
      <c r="X307" s="9">
        <f>IF(C307="","",IF(COUNTIF($C$4:$C$403,C307)&gt;1,"DUPLICATE",""))</f>
        <v/>
      </c>
      <c r="Y307" s="9" t="n"/>
    </row>
    <row r="308">
      <c r="A308" s="9" t="n"/>
      <c r="B308" s="9" t="n"/>
      <c r="C308" s="9" t="n"/>
      <c r="D308" s="9" t="n"/>
      <c r="E308" s="9" t="n"/>
      <c r="F308" s="9" t="n"/>
      <c r="G308" s="9" t="n"/>
      <c r="H308" s="9" t="n"/>
      <c r="I308" s="9" t="n"/>
      <c r="J308" s="9" t="n"/>
      <c r="K308" s="9" t="n"/>
      <c r="L308" s="9" t="n"/>
      <c r="M308" s="9" t="n"/>
      <c r="N308" s="8">
        <f>IF(COUNT(I308:M308)=5,SUM(I308:M308),"")</f>
        <v/>
      </c>
      <c r="O308" s="9">
        <f>IF(N308="","",IF(N308&gt;=16,"Priority",IF(N308&gt;=12,"Active",IF(N308&gt;=8,"Nurture / research","Park"))))</f>
        <v/>
      </c>
      <c r="P308" s="9" t="n"/>
      <c r="Q308" s="9" t="n"/>
      <c r="R308" s="9" t="n"/>
      <c r="S308" s="9" t="n"/>
      <c r="T308" s="9">
        <f>IF(OR(S308="",P308="Won",P308="Lost",P308="Disqualified"),"",IF(TODAY()&gt;S308,TODAY()-S308,0))</f>
        <v/>
      </c>
      <c r="U308" s="9" t="n"/>
      <c r="V308" s="9" t="n"/>
      <c r="W308" s="9" t="n"/>
      <c r="X308" s="9">
        <f>IF(C308="","",IF(COUNTIF($C$4:$C$403,C308)&gt;1,"DUPLICATE",""))</f>
        <v/>
      </c>
      <c r="Y308" s="9" t="n"/>
    </row>
    <row r="309">
      <c r="A309" s="9" t="n"/>
      <c r="B309" s="9" t="n"/>
      <c r="C309" s="9" t="n"/>
      <c r="D309" s="9" t="n"/>
      <c r="E309" s="9" t="n"/>
      <c r="F309" s="9" t="n"/>
      <c r="G309" s="9" t="n"/>
      <c r="H309" s="9" t="n"/>
      <c r="I309" s="9" t="n"/>
      <c r="J309" s="9" t="n"/>
      <c r="K309" s="9" t="n"/>
      <c r="L309" s="9" t="n"/>
      <c r="M309" s="9" t="n"/>
      <c r="N309" s="8">
        <f>IF(COUNT(I309:M309)=5,SUM(I309:M309),"")</f>
        <v/>
      </c>
      <c r="O309" s="9">
        <f>IF(N309="","",IF(N309&gt;=16,"Priority",IF(N309&gt;=12,"Active",IF(N309&gt;=8,"Nurture / research","Park"))))</f>
        <v/>
      </c>
      <c r="P309" s="9" t="n"/>
      <c r="Q309" s="9" t="n"/>
      <c r="R309" s="9" t="n"/>
      <c r="S309" s="9" t="n"/>
      <c r="T309" s="9">
        <f>IF(OR(S309="",P309="Won",P309="Lost",P309="Disqualified"),"",IF(TODAY()&gt;S309,TODAY()-S309,0))</f>
        <v/>
      </c>
      <c r="U309" s="9" t="n"/>
      <c r="V309" s="9" t="n"/>
      <c r="W309" s="9" t="n"/>
      <c r="X309" s="9">
        <f>IF(C309="","",IF(COUNTIF($C$4:$C$403,C309)&gt;1,"DUPLICATE",""))</f>
        <v/>
      </c>
      <c r="Y309" s="9" t="n"/>
    </row>
    <row r="310">
      <c r="A310" s="9" t="n"/>
      <c r="B310" s="9" t="n"/>
      <c r="C310" s="9" t="n"/>
      <c r="D310" s="9" t="n"/>
      <c r="E310" s="9" t="n"/>
      <c r="F310" s="9" t="n"/>
      <c r="G310" s="9" t="n"/>
      <c r="H310" s="9" t="n"/>
      <c r="I310" s="9" t="n"/>
      <c r="J310" s="9" t="n"/>
      <c r="K310" s="9" t="n"/>
      <c r="L310" s="9" t="n"/>
      <c r="M310" s="9" t="n"/>
      <c r="N310" s="8">
        <f>IF(COUNT(I310:M310)=5,SUM(I310:M310),"")</f>
        <v/>
      </c>
      <c r="O310" s="9">
        <f>IF(N310="","",IF(N310&gt;=16,"Priority",IF(N310&gt;=12,"Active",IF(N310&gt;=8,"Nurture / research","Park"))))</f>
        <v/>
      </c>
      <c r="P310" s="9" t="n"/>
      <c r="Q310" s="9" t="n"/>
      <c r="R310" s="9" t="n"/>
      <c r="S310" s="9" t="n"/>
      <c r="T310" s="9">
        <f>IF(OR(S310="",P310="Won",P310="Lost",P310="Disqualified"),"",IF(TODAY()&gt;S310,TODAY()-S310,0))</f>
        <v/>
      </c>
      <c r="U310" s="9" t="n"/>
      <c r="V310" s="9" t="n"/>
      <c r="W310" s="9" t="n"/>
      <c r="X310" s="9">
        <f>IF(C310="","",IF(COUNTIF($C$4:$C$403,C310)&gt;1,"DUPLICATE",""))</f>
        <v/>
      </c>
      <c r="Y310" s="9" t="n"/>
    </row>
    <row r="311">
      <c r="A311" s="9" t="n"/>
      <c r="B311" s="9" t="n"/>
      <c r="C311" s="9" t="n"/>
      <c r="D311" s="9" t="n"/>
      <c r="E311" s="9" t="n"/>
      <c r="F311" s="9" t="n"/>
      <c r="G311" s="9" t="n"/>
      <c r="H311" s="9" t="n"/>
      <c r="I311" s="9" t="n"/>
      <c r="J311" s="9" t="n"/>
      <c r="K311" s="9" t="n"/>
      <c r="L311" s="9" t="n"/>
      <c r="M311" s="9" t="n"/>
      <c r="N311" s="8">
        <f>IF(COUNT(I311:M311)=5,SUM(I311:M311),"")</f>
        <v/>
      </c>
      <c r="O311" s="9">
        <f>IF(N311="","",IF(N311&gt;=16,"Priority",IF(N311&gt;=12,"Active",IF(N311&gt;=8,"Nurture / research","Park"))))</f>
        <v/>
      </c>
      <c r="P311" s="9" t="n"/>
      <c r="Q311" s="9" t="n"/>
      <c r="R311" s="9" t="n"/>
      <c r="S311" s="9" t="n"/>
      <c r="T311" s="9">
        <f>IF(OR(S311="",P311="Won",P311="Lost",P311="Disqualified"),"",IF(TODAY()&gt;S311,TODAY()-S311,0))</f>
        <v/>
      </c>
      <c r="U311" s="9" t="n"/>
      <c r="V311" s="9" t="n"/>
      <c r="W311" s="9" t="n"/>
      <c r="X311" s="9">
        <f>IF(C311="","",IF(COUNTIF($C$4:$C$403,C311)&gt;1,"DUPLICATE",""))</f>
        <v/>
      </c>
      <c r="Y311" s="9" t="n"/>
    </row>
    <row r="312">
      <c r="A312" s="9" t="n"/>
      <c r="B312" s="9" t="n"/>
      <c r="C312" s="9" t="n"/>
      <c r="D312" s="9" t="n"/>
      <c r="E312" s="9" t="n"/>
      <c r="F312" s="9" t="n"/>
      <c r="G312" s="9" t="n"/>
      <c r="H312" s="9" t="n"/>
      <c r="I312" s="9" t="n"/>
      <c r="J312" s="9" t="n"/>
      <c r="K312" s="9" t="n"/>
      <c r="L312" s="9" t="n"/>
      <c r="M312" s="9" t="n"/>
      <c r="N312" s="8">
        <f>IF(COUNT(I312:M312)=5,SUM(I312:M312),"")</f>
        <v/>
      </c>
      <c r="O312" s="9">
        <f>IF(N312="","",IF(N312&gt;=16,"Priority",IF(N312&gt;=12,"Active",IF(N312&gt;=8,"Nurture / research","Park"))))</f>
        <v/>
      </c>
      <c r="P312" s="9" t="n"/>
      <c r="Q312" s="9" t="n"/>
      <c r="R312" s="9" t="n"/>
      <c r="S312" s="9" t="n"/>
      <c r="T312" s="9">
        <f>IF(OR(S312="",P312="Won",P312="Lost",P312="Disqualified"),"",IF(TODAY()&gt;S312,TODAY()-S312,0))</f>
        <v/>
      </c>
      <c r="U312" s="9" t="n"/>
      <c r="V312" s="9" t="n"/>
      <c r="W312" s="9" t="n"/>
      <c r="X312" s="9">
        <f>IF(C312="","",IF(COUNTIF($C$4:$C$403,C312)&gt;1,"DUPLICATE",""))</f>
        <v/>
      </c>
      <c r="Y312" s="9" t="n"/>
    </row>
    <row r="313">
      <c r="A313" s="9" t="n"/>
      <c r="B313" s="9" t="n"/>
      <c r="C313" s="9" t="n"/>
      <c r="D313" s="9" t="n"/>
      <c r="E313" s="9" t="n"/>
      <c r="F313" s="9" t="n"/>
      <c r="G313" s="9" t="n"/>
      <c r="H313" s="9" t="n"/>
      <c r="I313" s="9" t="n"/>
      <c r="J313" s="9" t="n"/>
      <c r="K313" s="9" t="n"/>
      <c r="L313" s="9" t="n"/>
      <c r="M313" s="9" t="n"/>
      <c r="N313" s="8">
        <f>IF(COUNT(I313:M313)=5,SUM(I313:M313),"")</f>
        <v/>
      </c>
      <c r="O313" s="9">
        <f>IF(N313="","",IF(N313&gt;=16,"Priority",IF(N313&gt;=12,"Active",IF(N313&gt;=8,"Nurture / research","Park"))))</f>
        <v/>
      </c>
      <c r="P313" s="9" t="n"/>
      <c r="Q313" s="9" t="n"/>
      <c r="R313" s="9" t="n"/>
      <c r="S313" s="9" t="n"/>
      <c r="T313" s="9">
        <f>IF(OR(S313="",P313="Won",P313="Lost",P313="Disqualified"),"",IF(TODAY()&gt;S313,TODAY()-S313,0))</f>
        <v/>
      </c>
      <c r="U313" s="9" t="n"/>
      <c r="V313" s="9" t="n"/>
      <c r="W313" s="9" t="n"/>
      <c r="X313" s="9">
        <f>IF(C313="","",IF(COUNTIF($C$4:$C$403,C313)&gt;1,"DUPLICATE",""))</f>
        <v/>
      </c>
      <c r="Y313" s="9" t="n"/>
    </row>
    <row r="314">
      <c r="A314" s="9" t="n"/>
      <c r="B314" s="9" t="n"/>
      <c r="C314" s="9" t="n"/>
      <c r="D314" s="9" t="n"/>
      <c r="E314" s="9" t="n"/>
      <c r="F314" s="9" t="n"/>
      <c r="G314" s="9" t="n"/>
      <c r="H314" s="9" t="n"/>
      <c r="I314" s="9" t="n"/>
      <c r="J314" s="9" t="n"/>
      <c r="K314" s="9" t="n"/>
      <c r="L314" s="9" t="n"/>
      <c r="M314" s="9" t="n"/>
      <c r="N314" s="8">
        <f>IF(COUNT(I314:M314)=5,SUM(I314:M314),"")</f>
        <v/>
      </c>
      <c r="O314" s="9">
        <f>IF(N314="","",IF(N314&gt;=16,"Priority",IF(N314&gt;=12,"Active",IF(N314&gt;=8,"Nurture / research","Park"))))</f>
        <v/>
      </c>
      <c r="P314" s="9" t="n"/>
      <c r="Q314" s="9" t="n"/>
      <c r="R314" s="9" t="n"/>
      <c r="S314" s="9" t="n"/>
      <c r="T314" s="9">
        <f>IF(OR(S314="",P314="Won",P314="Lost",P314="Disqualified"),"",IF(TODAY()&gt;S314,TODAY()-S314,0))</f>
        <v/>
      </c>
      <c r="U314" s="9" t="n"/>
      <c r="V314" s="9" t="n"/>
      <c r="W314" s="9" t="n"/>
      <c r="X314" s="9">
        <f>IF(C314="","",IF(COUNTIF($C$4:$C$403,C314)&gt;1,"DUPLICATE",""))</f>
        <v/>
      </c>
      <c r="Y314" s="9" t="n"/>
    </row>
    <row r="315">
      <c r="A315" s="9" t="n"/>
      <c r="B315" s="9" t="n"/>
      <c r="C315" s="9" t="n"/>
      <c r="D315" s="9" t="n"/>
      <c r="E315" s="9" t="n"/>
      <c r="F315" s="9" t="n"/>
      <c r="G315" s="9" t="n"/>
      <c r="H315" s="9" t="n"/>
      <c r="I315" s="9" t="n"/>
      <c r="J315" s="9" t="n"/>
      <c r="K315" s="9" t="n"/>
      <c r="L315" s="9" t="n"/>
      <c r="M315" s="9" t="n"/>
      <c r="N315" s="8">
        <f>IF(COUNT(I315:M315)=5,SUM(I315:M315),"")</f>
        <v/>
      </c>
      <c r="O315" s="9">
        <f>IF(N315="","",IF(N315&gt;=16,"Priority",IF(N315&gt;=12,"Active",IF(N315&gt;=8,"Nurture / research","Park"))))</f>
        <v/>
      </c>
      <c r="P315" s="9" t="n"/>
      <c r="Q315" s="9" t="n"/>
      <c r="R315" s="9" t="n"/>
      <c r="S315" s="9" t="n"/>
      <c r="T315" s="9">
        <f>IF(OR(S315="",P315="Won",P315="Lost",P315="Disqualified"),"",IF(TODAY()&gt;S315,TODAY()-S315,0))</f>
        <v/>
      </c>
      <c r="U315" s="9" t="n"/>
      <c r="V315" s="9" t="n"/>
      <c r="W315" s="9" t="n"/>
      <c r="X315" s="9">
        <f>IF(C315="","",IF(COUNTIF($C$4:$C$403,C315)&gt;1,"DUPLICATE",""))</f>
        <v/>
      </c>
      <c r="Y315" s="9" t="n"/>
    </row>
    <row r="316">
      <c r="A316" s="9" t="n"/>
      <c r="B316" s="9" t="n"/>
      <c r="C316" s="9" t="n"/>
      <c r="D316" s="9" t="n"/>
      <c r="E316" s="9" t="n"/>
      <c r="F316" s="9" t="n"/>
      <c r="G316" s="9" t="n"/>
      <c r="H316" s="9" t="n"/>
      <c r="I316" s="9" t="n"/>
      <c r="J316" s="9" t="n"/>
      <c r="K316" s="9" t="n"/>
      <c r="L316" s="9" t="n"/>
      <c r="M316" s="9" t="n"/>
      <c r="N316" s="8">
        <f>IF(COUNT(I316:M316)=5,SUM(I316:M316),"")</f>
        <v/>
      </c>
      <c r="O316" s="9">
        <f>IF(N316="","",IF(N316&gt;=16,"Priority",IF(N316&gt;=12,"Active",IF(N316&gt;=8,"Nurture / research","Park"))))</f>
        <v/>
      </c>
      <c r="P316" s="9" t="n"/>
      <c r="Q316" s="9" t="n"/>
      <c r="R316" s="9" t="n"/>
      <c r="S316" s="9" t="n"/>
      <c r="T316" s="9">
        <f>IF(OR(S316="",P316="Won",P316="Lost",P316="Disqualified"),"",IF(TODAY()&gt;S316,TODAY()-S316,0))</f>
        <v/>
      </c>
      <c r="U316" s="9" t="n"/>
      <c r="V316" s="9" t="n"/>
      <c r="W316" s="9" t="n"/>
      <c r="X316" s="9">
        <f>IF(C316="","",IF(COUNTIF($C$4:$C$403,C316)&gt;1,"DUPLICATE",""))</f>
        <v/>
      </c>
      <c r="Y316" s="9" t="n"/>
    </row>
    <row r="317">
      <c r="A317" s="9" t="n"/>
      <c r="B317" s="9" t="n"/>
      <c r="C317" s="9" t="n"/>
      <c r="D317" s="9" t="n"/>
      <c r="E317" s="9" t="n"/>
      <c r="F317" s="9" t="n"/>
      <c r="G317" s="9" t="n"/>
      <c r="H317" s="9" t="n"/>
      <c r="I317" s="9" t="n"/>
      <c r="J317" s="9" t="n"/>
      <c r="K317" s="9" t="n"/>
      <c r="L317" s="9" t="n"/>
      <c r="M317" s="9" t="n"/>
      <c r="N317" s="8">
        <f>IF(COUNT(I317:M317)=5,SUM(I317:M317),"")</f>
        <v/>
      </c>
      <c r="O317" s="9">
        <f>IF(N317="","",IF(N317&gt;=16,"Priority",IF(N317&gt;=12,"Active",IF(N317&gt;=8,"Nurture / research","Park"))))</f>
        <v/>
      </c>
      <c r="P317" s="9" t="n"/>
      <c r="Q317" s="9" t="n"/>
      <c r="R317" s="9" t="n"/>
      <c r="S317" s="9" t="n"/>
      <c r="T317" s="9">
        <f>IF(OR(S317="",P317="Won",P317="Lost",P317="Disqualified"),"",IF(TODAY()&gt;S317,TODAY()-S317,0))</f>
        <v/>
      </c>
      <c r="U317" s="9" t="n"/>
      <c r="V317" s="9" t="n"/>
      <c r="W317" s="9" t="n"/>
      <c r="X317" s="9">
        <f>IF(C317="","",IF(COUNTIF($C$4:$C$403,C317)&gt;1,"DUPLICATE",""))</f>
        <v/>
      </c>
      <c r="Y317" s="9" t="n"/>
    </row>
    <row r="318">
      <c r="A318" s="9" t="n"/>
      <c r="B318" s="9" t="n"/>
      <c r="C318" s="9" t="n"/>
      <c r="D318" s="9" t="n"/>
      <c r="E318" s="9" t="n"/>
      <c r="F318" s="9" t="n"/>
      <c r="G318" s="9" t="n"/>
      <c r="H318" s="9" t="n"/>
      <c r="I318" s="9" t="n"/>
      <c r="J318" s="9" t="n"/>
      <c r="K318" s="9" t="n"/>
      <c r="L318" s="9" t="n"/>
      <c r="M318" s="9" t="n"/>
      <c r="N318" s="8">
        <f>IF(COUNT(I318:M318)=5,SUM(I318:M318),"")</f>
        <v/>
      </c>
      <c r="O318" s="9">
        <f>IF(N318="","",IF(N318&gt;=16,"Priority",IF(N318&gt;=12,"Active",IF(N318&gt;=8,"Nurture / research","Park"))))</f>
        <v/>
      </c>
      <c r="P318" s="9" t="n"/>
      <c r="Q318" s="9" t="n"/>
      <c r="R318" s="9" t="n"/>
      <c r="S318" s="9" t="n"/>
      <c r="T318" s="9">
        <f>IF(OR(S318="",P318="Won",P318="Lost",P318="Disqualified"),"",IF(TODAY()&gt;S318,TODAY()-S318,0))</f>
        <v/>
      </c>
      <c r="U318" s="9" t="n"/>
      <c r="V318" s="9" t="n"/>
      <c r="W318" s="9" t="n"/>
      <c r="X318" s="9">
        <f>IF(C318="","",IF(COUNTIF($C$4:$C$403,C318)&gt;1,"DUPLICATE",""))</f>
        <v/>
      </c>
      <c r="Y318" s="9" t="n"/>
    </row>
    <row r="319">
      <c r="A319" s="9" t="n"/>
      <c r="B319" s="9" t="n"/>
      <c r="C319" s="9" t="n"/>
      <c r="D319" s="9" t="n"/>
      <c r="E319" s="9" t="n"/>
      <c r="F319" s="9" t="n"/>
      <c r="G319" s="9" t="n"/>
      <c r="H319" s="9" t="n"/>
      <c r="I319" s="9" t="n"/>
      <c r="J319" s="9" t="n"/>
      <c r="K319" s="9" t="n"/>
      <c r="L319" s="9" t="n"/>
      <c r="M319" s="9" t="n"/>
      <c r="N319" s="8">
        <f>IF(COUNT(I319:M319)=5,SUM(I319:M319),"")</f>
        <v/>
      </c>
      <c r="O319" s="9">
        <f>IF(N319="","",IF(N319&gt;=16,"Priority",IF(N319&gt;=12,"Active",IF(N319&gt;=8,"Nurture / research","Park"))))</f>
        <v/>
      </c>
      <c r="P319" s="9" t="n"/>
      <c r="Q319" s="9" t="n"/>
      <c r="R319" s="9" t="n"/>
      <c r="S319" s="9" t="n"/>
      <c r="T319" s="9">
        <f>IF(OR(S319="",P319="Won",P319="Lost",P319="Disqualified"),"",IF(TODAY()&gt;S319,TODAY()-S319,0))</f>
        <v/>
      </c>
      <c r="U319" s="9" t="n"/>
      <c r="V319" s="9" t="n"/>
      <c r="W319" s="9" t="n"/>
      <c r="X319" s="9">
        <f>IF(C319="","",IF(COUNTIF($C$4:$C$403,C319)&gt;1,"DUPLICATE",""))</f>
        <v/>
      </c>
      <c r="Y319" s="9" t="n"/>
    </row>
    <row r="320">
      <c r="A320" s="9" t="n"/>
      <c r="B320" s="9" t="n"/>
      <c r="C320" s="9" t="n"/>
      <c r="D320" s="9" t="n"/>
      <c r="E320" s="9" t="n"/>
      <c r="F320" s="9" t="n"/>
      <c r="G320" s="9" t="n"/>
      <c r="H320" s="9" t="n"/>
      <c r="I320" s="9" t="n"/>
      <c r="J320" s="9" t="n"/>
      <c r="K320" s="9" t="n"/>
      <c r="L320" s="9" t="n"/>
      <c r="M320" s="9" t="n"/>
      <c r="N320" s="8">
        <f>IF(COUNT(I320:M320)=5,SUM(I320:M320),"")</f>
        <v/>
      </c>
      <c r="O320" s="9">
        <f>IF(N320="","",IF(N320&gt;=16,"Priority",IF(N320&gt;=12,"Active",IF(N320&gt;=8,"Nurture / research","Park"))))</f>
        <v/>
      </c>
      <c r="P320" s="9" t="n"/>
      <c r="Q320" s="9" t="n"/>
      <c r="R320" s="9" t="n"/>
      <c r="S320" s="9" t="n"/>
      <c r="T320" s="9">
        <f>IF(OR(S320="",P320="Won",P320="Lost",P320="Disqualified"),"",IF(TODAY()&gt;S320,TODAY()-S320,0))</f>
        <v/>
      </c>
      <c r="U320" s="9" t="n"/>
      <c r="V320" s="9" t="n"/>
      <c r="W320" s="9" t="n"/>
      <c r="X320" s="9">
        <f>IF(C320="","",IF(COUNTIF($C$4:$C$403,C320)&gt;1,"DUPLICATE",""))</f>
        <v/>
      </c>
      <c r="Y320" s="9" t="n"/>
    </row>
    <row r="321">
      <c r="A321" s="9" t="n"/>
      <c r="B321" s="9" t="n"/>
      <c r="C321" s="9" t="n"/>
      <c r="D321" s="9" t="n"/>
      <c r="E321" s="9" t="n"/>
      <c r="F321" s="9" t="n"/>
      <c r="G321" s="9" t="n"/>
      <c r="H321" s="9" t="n"/>
      <c r="I321" s="9" t="n"/>
      <c r="J321" s="9" t="n"/>
      <c r="K321" s="9" t="n"/>
      <c r="L321" s="9" t="n"/>
      <c r="M321" s="9" t="n"/>
      <c r="N321" s="8">
        <f>IF(COUNT(I321:M321)=5,SUM(I321:M321),"")</f>
        <v/>
      </c>
      <c r="O321" s="9">
        <f>IF(N321="","",IF(N321&gt;=16,"Priority",IF(N321&gt;=12,"Active",IF(N321&gt;=8,"Nurture / research","Park"))))</f>
        <v/>
      </c>
      <c r="P321" s="9" t="n"/>
      <c r="Q321" s="9" t="n"/>
      <c r="R321" s="9" t="n"/>
      <c r="S321" s="9" t="n"/>
      <c r="T321" s="9">
        <f>IF(OR(S321="",P321="Won",P321="Lost",P321="Disqualified"),"",IF(TODAY()&gt;S321,TODAY()-S321,0))</f>
        <v/>
      </c>
      <c r="U321" s="9" t="n"/>
      <c r="V321" s="9" t="n"/>
      <c r="W321" s="9" t="n"/>
      <c r="X321" s="9">
        <f>IF(C321="","",IF(COUNTIF($C$4:$C$403,C321)&gt;1,"DUPLICATE",""))</f>
        <v/>
      </c>
      <c r="Y321" s="9" t="n"/>
    </row>
    <row r="322">
      <c r="A322" s="9" t="n"/>
      <c r="B322" s="9" t="n"/>
      <c r="C322" s="9" t="n"/>
      <c r="D322" s="9" t="n"/>
      <c r="E322" s="9" t="n"/>
      <c r="F322" s="9" t="n"/>
      <c r="G322" s="9" t="n"/>
      <c r="H322" s="9" t="n"/>
      <c r="I322" s="9" t="n"/>
      <c r="J322" s="9" t="n"/>
      <c r="K322" s="9" t="n"/>
      <c r="L322" s="9" t="n"/>
      <c r="M322" s="9" t="n"/>
      <c r="N322" s="8">
        <f>IF(COUNT(I322:M322)=5,SUM(I322:M322),"")</f>
        <v/>
      </c>
      <c r="O322" s="9">
        <f>IF(N322="","",IF(N322&gt;=16,"Priority",IF(N322&gt;=12,"Active",IF(N322&gt;=8,"Nurture / research","Park"))))</f>
        <v/>
      </c>
      <c r="P322" s="9" t="n"/>
      <c r="Q322" s="9" t="n"/>
      <c r="R322" s="9" t="n"/>
      <c r="S322" s="9" t="n"/>
      <c r="T322" s="9">
        <f>IF(OR(S322="",P322="Won",P322="Lost",P322="Disqualified"),"",IF(TODAY()&gt;S322,TODAY()-S322,0))</f>
        <v/>
      </c>
      <c r="U322" s="9" t="n"/>
      <c r="V322" s="9" t="n"/>
      <c r="W322" s="9" t="n"/>
      <c r="X322" s="9">
        <f>IF(C322="","",IF(COUNTIF($C$4:$C$403,C322)&gt;1,"DUPLICATE",""))</f>
        <v/>
      </c>
      <c r="Y322" s="9" t="n"/>
    </row>
    <row r="323">
      <c r="A323" s="9" t="n"/>
      <c r="B323" s="9" t="n"/>
      <c r="C323" s="9" t="n"/>
      <c r="D323" s="9" t="n"/>
      <c r="E323" s="9" t="n"/>
      <c r="F323" s="9" t="n"/>
      <c r="G323" s="9" t="n"/>
      <c r="H323" s="9" t="n"/>
      <c r="I323" s="9" t="n"/>
      <c r="J323" s="9" t="n"/>
      <c r="K323" s="9" t="n"/>
      <c r="L323" s="9" t="n"/>
      <c r="M323" s="9" t="n"/>
      <c r="N323" s="8">
        <f>IF(COUNT(I323:M323)=5,SUM(I323:M323),"")</f>
        <v/>
      </c>
      <c r="O323" s="9">
        <f>IF(N323="","",IF(N323&gt;=16,"Priority",IF(N323&gt;=12,"Active",IF(N323&gt;=8,"Nurture / research","Park"))))</f>
        <v/>
      </c>
      <c r="P323" s="9" t="n"/>
      <c r="Q323" s="9" t="n"/>
      <c r="R323" s="9" t="n"/>
      <c r="S323" s="9" t="n"/>
      <c r="T323" s="9">
        <f>IF(OR(S323="",P323="Won",P323="Lost",P323="Disqualified"),"",IF(TODAY()&gt;S323,TODAY()-S323,0))</f>
        <v/>
      </c>
      <c r="U323" s="9" t="n"/>
      <c r="V323" s="9" t="n"/>
      <c r="W323" s="9" t="n"/>
      <c r="X323" s="9">
        <f>IF(C323="","",IF(COUNTIF($C$4:$C$403,C323)&gt;1,"DUPLICATE",""))</f>
        <v/>
      </c>
      <c r="Y323" s="9" t="n"/>
    </row>
    <row r="324">
      <c r="A324" s="9" t="n"/>
      <c r="B324" s="9" t="n"/>
      <c r="C324" s="9" t="n"/>
      <c r="D324" s="9" t="n"/>
      <c r="E324" s="9" t="n"/>
      <c r="F324" s="9" t="n"/>
      <c r="G324" s="9" t="n"/>
      <c r="H324" s="9" t="n"/>
      <c r="I324" s="9" t="n"/>
      <c r="J324" s="9" t="n"/>
      <c r="K324" s="9" t="n"/>
      <c r="L324" s="9" t="n"/>
      <c r="M324" s="9" t="n"/>
      <c r="N324" s="8">
        <f>IF(COUNT(I324:M324)=5,SUM(I324:M324),"")</f>
        <v/>
      </c>
      <c r="O324" s="9">
        <f>IF(N324="","",IF(N324&gt;=16,"Priority",IF(N324&gt;=12,"Active",IF(N324&gt;=8,"Nurture / research","Park"))))</f>
        <v/>
      </c>
      <c r="P324" s="9" t="n"/>
      <c r="Q324" s="9" t="n"/>
      <c r="R324" s="9" t="n"/>
      <c r="S324" s="9" t="n"/>
      <c r="T324" s="9">
        <f>IF(OR(S324="",P324="Won",P324="Lost",P324="Disqualified"),"",IF(TODAY()&gt;S324,TODAY()-S324,0))</f>
        <v/>
      </c>
      <c r="U324" s="9" t="n"/>
      <c r="V324" s="9" t="n"/>
      <c r="W324" s="9" t="n"/>
      <c r="X324" s="9">
        <f>IF(C324="","",IF(COUNTIF($C$4:$C$403,C324)&gt;1,"DUPLICATE",""))</f>
        <v/>
      </c>
      <c r="Y324" s="9" t="n"/>
    </row>
    <row r="325">
      <c r="A325" s="9" t="n"/>
      <c r="B325" s="9" t="n"/>
      <c r="C325" s="9" t="n"/>
      <c r="D325" s="9" t="n"/>
      <c r="E325" s="9" t="n"/>
      <c r="F325" s="9" t="n"/>
      <c r="G325" s="9" t="n"/>
      <c r="H325" s="9" t="n"/>
      <c r="I325" s="9" t="n"/>
      <c r="J325" s="9" t="n"/>
      <c r="K325" s="9" t="n"/>
      <c r="L325" s="9" t="n"/>
      <c r="M325" s="9" t="n"/>
      <c r="N325" s="8">
        <f>IF(COUNT(I325:M325)=5,SUM(I325:M325),"")</f>
        <v/>
      </c>
      <c r="O325" s="9">
        <f>IF(N325="","",IF(N325&gt;=16,"Priority",IF(N325&gt;=12,"Active",IF(N325&gt;=8,"Nurture / research","Park"))))</f>
        <v/>
      </c>
      <c r="P325" s="9" t="n"/>
      <c r="Q325" s="9" t="n"/>
      <c r="R325" s="9" t="n"/>
      <c r="S325" s="9" t="n"/>
      <c r="T325" s="9">
        <f>IF(OR(S325="",P325="Won",P325="Lost",P325="Disqualified"),"",IF(TODAY()&gt;S325,TODAY()-S325,0))</f>
        <v/>
      </c>
      <c r="U325" s="9" t="n"/>
      <c r="V325" s="9" t="n"/>
      <c r="W325" s="9" t="n"/>
      <c r="X325" s="9">
        <f>IF(C325="","",IF(COUNTIF($C$4:$C$403,C325)&gt;1,"DUPLICATE",""))</f>
        <v/>
      </c>
      <c r="Y325" s="9" t="n"/>
    </row>
    <row r="326">
      <c r="A326" s="9" t="n"/>
      <c r="B326" s="9" t="n"/>
      <c r="C326" s="9" t="n"/>
      <c r="D326" s="9" t="n"/>
      <c r="E326" s="9" t="n"/>
      <c r="F326" s="9" t="n"/>
      <c r="G326" s="9" t="n"/>
      <c r="H326" s="9" t="n"/>
      <c r="I326" s="9" t="n"/>
      <c r="J326" s="9" t="n"/>
      <c r="K326" s="9" t="n"/>
      <c r="L326" s="9" t="n"/>
      <c r="M326" s="9" t="n"/>
      <c r="N326" s="8">
        <f>IF(COUNT(I326:M326)=5,SUM(I326:M326),"")</f>
        <v/>
      </c>
      <c r="O326" s="9">
        <f>IF(N326="","",IF(N326&gt;=16,"Priority",IF(N326&gt;=12,"Active",IF(N326&gt;=8,"Nurture / research","Park"))))</f>
        <v/>
      </c>
      <c r="P326" s="9" t="n"/>
      <c r="Q326" s="9" t="n"/>
      <c r="R326" s="9" t="n"/>
      <c r="S326" s="9" t="n"/>
      <c r="T326" s="9">
        <f>IF(OR(S326="",P326="Won",P326="Lost",P326="Disqualified"),"",IF(TODAY()&gt;S326,TODAY()-S326,0))</f>
        <v/>
      </c>
      <c r="U326" s="9" t="n"/>
      <c r="V326" s="9" t="n"/>
      <c r="W326" s="9" t="n"/>
      <c r="X326" s="9">
        <f>IF(C326="","",IF(COUNTIF($C$4:$C$403,C326)&gt;1,"DUPLICATE",""))</f>
        <v/>
      </c>
      <c r="Y326" s="9" t="n"/>
    </row>
    <row r="327">
      <c r="A327" s="9" t="n"/>
      <c r="B327" s="9" t="n"/>
      <c r="C327" s="9" t="n"/>
      <c r="D327" s="9" t="n"/>
      <c r="E327" s="9" t="n"/>
      <c r="F327" s="9" t="n"/>
      <c r="G327" s="9" t="n"/>
      <c r="H327" s="9" t="n"/>
      <c r="I327" s="9" t="n"/>
      <c r="J327" s="9" t="n"/>
      <c r="K327" s="9" t="n"/>
      <c r="L327" s="9" t="n"/>
      <c r="M327" s="9" t="n"/>
      <c r="N327" s="8">
        <f>IF(COUNT(I327:M327)=5,SUM(I327:M327),"")</f>
        <v/>
      </c>
      <c r="O327" s="9">
        <f>IF(N327="","",IF(N327&gt;=16,"Priority",IF(N327&gt;=12,"Active",IF(N327&gt;=8,"Nurture / research","Park"))))</f>
        <v/>
      </c>
      <c r="P327" s="9" t="n"/>
      <c r="Q327" s="9" t="n"/>
      <c r="R327" s="9" t="n"/>
      <c r="S327" s="9" t="n"/>
      <c r="T327" s="9">
        <f>IF(OR(S327="",P327="Won",P327="Lost",P327="Disqualified"),"",IF(TODAY()&gt;S327,TODAY()-S327,0))</f>
        <v/>
      </c>
      <c r="U327" s="9" t="n"/>
      <c r="V327" s="9" t="n"/>
      <c r="W327" s="9" t="n"/>
      <c r="X327" s="9">
        <f>IF(C327="","",IF(COUNTIF($C$4:$C$403,C327)&gt;1,"DUPLICATE",""))</f>
        <v/>
      </c>
      <c r="Y327" s="9" t="n"/>
    </row>
    <row r="328">
      <c r="A328" s="9" t="n"/>
      <c r="B328" s="9" t="n"/>
      <c r="C328" s="9" t="n"/>
      <c r="D328" s="9" t="n"/>
      <c r="E328" s="9" t="n"/>
      <c r="F328" s="9" t="n"/>
      <c r="G328" s="9" t="n"/>
      <c r="H328" s="9" t="n"/>
      <c r="I328" s="9" t="n"/>
      <c r="J328" s="9" t="n"/>
      <c r="K328" s="9" t="n"/>
      <c r="L328" s="9" t="n"/>
      <c r="M328" s="9" t="n"/>
      <c r="N328" s="8">
        <f>IF(COUNT(I328:M328)=5,SUM(I328:M328),"")</f>
        <v/>
      </c>
      <c r="O328" s="9">
        <f>IF(N328="","",IF(N328&gt;=16,"Priority",IF(N328&gt;=12,"Active",IF(N328&gt;=8,"Nurture / research","Park"))))</f>
        <v/>
      </c>
      <c r="P328" s="9" t="n"/>
      <c r="Q328" s="9" t="n"/>
      <c r="R328" s="9" t="n"/>
      <c r="S328" s="9" t="n"/>
      <c r="T328" s="9">
        <f>IF(OR(S328="",P328="Won",P328="Lost",P328="Disqualified"),"",IF(TODAY()&gt;S328,TODAY()-S328,0))</f>
        <v/>
      </c>
      <c r="U328" s="9" t="n"/>
      <c r="V328" s="9" t="n"/>
      <c r="W328" s="9" t="n"/>
      <c r="X328" s="9">
        <f>IF(C328="","",IF(COUNTIF($C$4:$C$403,C328)&gt;1,"DUPLICATE",""))</f>
        <v/>
      </c>
      <c r="Y328" s="9" t="n"/>
    </row>
    <row r="329">
      <c r="A329" s="9" t="n"/>
      <c r="B329" s="9" t="n"/>
      <c r="C329" s="9" t="n"/>
      <c r="D329" s="9" t="n"/>
      <c r="E329" s="9" t="n"/>
      <c r="F329" s="9" t="n"/>
      <c r="G329" s="9" t="n"/>
      <c r="H329" s="9" t="n"/>
      <c r="I329" s="9" t="n"/>
      <c r="J329" s="9" t="n"/>
      <c r="K329" s="9" t="n"/>
      <c r="L329" s="9" t="n"/>
      <c r="M329" s="9" t="n"/>
      <c r="N329" s="8">
        <f>IF(COUNT(I329:M329)=5,SUM(I329:M329),"")</f>
        <v/>
      </c>
      <c r="O329" s="9">
        <f>IF(N329="","",IF(N329&gt;=16,"Priority",IF(N329&gt;=12,"Active",IF(N329&gt;=8,"Nurture / research","Park"))))</f>
        <v/>
      </c>
      <c r="P329" s="9" t="n"/>
      <c r="Q329" s="9" t="n"/>
      <c r="R329" s="9" t="n"/>
      <c r="S329" s="9" t="n"/>
      <c r="T329" s="9">
        <f>IF(OR(S329="",P329="Won",P329="Lost",P329="Disqualified"),"",IF(TODAY()&gt;S329,TODAY()-S329,0))</f>
        <v/>
      </c>
      <c r="U329" s="9" t="n"/>
      <c r="V329" s="9" t="n"/>
      <c r="W329" s="9" t="n"/>
      <c r="X329" s="9">
        <f>IF(C329="","",IF(COUNTIF($C$4:$C$403,C329)&gt;1,"DUPLICATE",""))</f>
        <v/>
      </c>
      <c r="Y329" s="9" t="n"/>
    </row>
    <row r="330">
      <c r="A330" s="9" t="n"/>
      <c r="B330" s="9" t="n"/>
      <c r="C330" s="9" t="n"/>
      <c r="D330" s="9" t="n"/>
      <c r="E330" s="9" t="n"/>
      <c r="F330" s="9" t="n"/>
      <c r="G330" s="9" t="n"/>
      <c r="H330" s="9" t="n"/>
      <c r="I330" s="9" t="n"/>
      <c r="J330" s="9" t="n"/>
      <c r="K330" s="9" t="n"/>
      <c r="L330" s="9" t="n"/>
      <c r="M330" s="9" t="n"/>
      <c r="N330" s="8">
        <f>IF(COUNT(I330:M330)=5,SUM(I330:M330),"")</f>
        <v/>
      </c>
      <c r="O330" s="9">
        <f>IF(N330="","",IF(N330&gt;=16,"Priority",IF(N330&gt;=12,"Active",IF(N330&gt;=8,"Nurture / research","Park"))))</f>
        <v/>
      </c>
      <c r="P330" s="9" t="n"/>
      <c r="Q330" s="9" t="n"/>
      <c r="R330" s="9" t="n"/>
      <c r="S330" s="9" t="n"/>
      <c r="T330" s="9">
        <f>IF(OR(S330="",P330="Won",P330="Lost",P330="Disqualified"),"",IF(TODAY()&gt;S330,TODAY()-S330,0))</f>
        <v/>
      </c>
      <c r="U330" s="9" t="n"/>
      <c r="V330" s="9" t="n"/>
      <c r="W330" s="9" t="n"/>
      <c r="X330" s="9">
        <f>IF(C330="","",IF(COUNTIF($C$4:$C$403,C330)&gt;1,"DUPLICATE",""))</f>
        <v/>
      </c>
      <c r="Y330" s="9" t="n"/>
    </row>
    <row r="331">
      <c r="A331" s="9" t="n"/>
      <c r="B331" s="9" t="n"/>
      <c r="C331" s="9" t="n"/>
      <c r="D331" s="9" t="n"/>
      <c r="E331" s="9" t="n"/>
      <c r="F331" s="9" t="n"/>
      <c r="G331" s="9" t="n"/>
      <c r="H331" s="9" t="n"/>
      <c r="I331" s="9" t="n"/>
      <c r="J331" s="9" t="n"/>
      <c r="K331" s="9" t="n"/>
      <c r="L331" s="9" t="n"/>
      <c r="M331" s="9" t="n"/>
      <c r="N331" s="8">
        <f>IF(COUNT(I331:M331)=5,SUM(I331:M331),"")</f>
        <v/>
      </c>
      <c r="O331" s="9">
        <f>IF(N331="","",IF(N331&gt;=16,"Priority",IF(N331&gt;=12,"Active",IF(N331&gt;=8,"Nurture / research","Park"))))</f>
        <v/>
      </c>
      <c r="P331" s="9" t="n"/>
      <c r="Q331" s="9" t="n"/>
      <c r="R331" s="9" t="n"/>
      <c r="S331" s="9" t="n"/>
      <c r="T331" s="9">
        <f>IF(OR(S331="",P331="Won",P331="Lost",P331="Disqualified"),"",IF(TODAY()&gt;S331,TODAY()-S331,0))</f>
        <v/>
      </c>
      <c r="U331" s="9" t="n"/>
      <c r="V331" s="9" t="n"/>
      <c r="W331" s="9" t="n"/>
      <c r="X331" s="9">
        <f>IF(C331="","",IF(COUNTIF($C$4:$C$403,C331)&gt;1,"DUPLICATE",""))</f>
        <v/>
      </c>
      <c r="Y331" s="9" t="n"/>
    </row>
    <row r="332">
      <c r="A332" s="9" t="n"/>
      <c r="B332" s="9" t="n"/>
      <c r="C332" s="9" t="n"/>
      <c r="D332" s="9" t="n"/>
      <c r="E332" s="9" t="n"/>
      <c r="F332" s="9" t="n"/>
      <c r="G332" s="9" t="n"/>
      <c r="H332" s="9" t="n"/>
      <c r="I332" s="9" t="n"/>
      <c r="J332" s="9" t="n"/>
      <c r="K332" s="9" t="n"/>
      <c r="L332" s="9" t="n"/>
      <c r="M332" s="9" t="n"/>
      <c r="N332" s="8">
        <f>IF(COUNT(I332:M332)=5,SUM(I332:M332),"")</f>
        <v/>
      </c>
      <c r="O332" s="9">
        <f>IF(N332="","",IF(N332&gt;=16,"Priority",IF(N332&gt;=12,"Active",IF(N332&gt;=8,"Nurture / research","Park"))))</f>
        <v/>
      </c>
      <c r="P332" s="9" t="n"/>
      <c r="Q332" s="9" t="n"/>
      <c r="R332" s="9" t="n"/>
      <c r="S332" s="9" t="n"/>
      <c r="T332" s="9">
        <f>IF(OR(S332="",P332="Won",P332="Lost",P332="Disqualified"),"",IF(TODAY()&gt;S332,TODAY()-S332,0))</f>
        <v/>
      </c>
      <c r="U332" s="9" t="n"/>
      <c r="V332" s="9" t="n"/>
      <c r="W332" s="9" t="n"/>
      <c r="X332" s="9">
        <f>IF(C332="","",IF(COUNTIF($C$4:$C$403,C332)&gt;1,"DUPLICATE",""))</f>
        <v/>
      </c>
      <c r="Y332" s="9" t="n"/>
    </row>
    <row r="333">
      <c r="A333" s="9" t="n"/>
      <c r="B333" s="9" t="n"/>
      <c r="C333" s="9" t="n"/>
      <c r="D333" s="9" t="n"/>
      <c r="E333" s="9" t="n"/>
      <c r="F333" s="9" t="n"/>
      <c r="G333" s="9" t="n"/>
      <c r="H333" s="9" t="n"/>
      <c r="I333" s="9" t="n"/>
      <c r="J333" s="9" t="n"/>
      <c r="K333" s="9" t="n"/>
      <c r="L333" s="9" t="n"/>
      <c r="M333" s="9" t="n"/>
      <c r="N333" s="8">
        <f>IF(COUNT(I333:M333)=5,SUM(I333:M333),"")</f>
        <v/>
      </c>
      <c r="O333" s="9">
        <f>IF(N333="","",IF(N333&gt;=16,"Priority",IF(N333&gt;=12,"Active",IF(N333&gt;=8,"Nurture / research","Park"))))</f>
        <v/>
      </c>
      <c r="P333" s="9" t="n"/>
      <c r="Q333" s="9" t="n"/>
      <c r="R333" s="9" t="n"/>
      <c r="S333" s="9" t="n"/>
      <c r="T333" s="9">
        <f>IF(OR(S333="",P333="Won",P333="Lost",P333="Disqualified"),"",IF(TODAY()&gt;S333,TODAY()-S333,0))</f>
        <v/>
      </c>
      <c r="U333" s="9" t="n"/>
      <c r="V333" s="9" t="n"/>
      <c r="W333" s="9" t="n"/>
      <c r="X333" s="9">
        <f>IF(C333="","",IF(COUNTIF($C$4:$C$403,C333)&gt;1,"DUPLICATE",""))</f>
        <v/>
      </c>
      <c r="Y333" s="9" t="n"/>
    </row>
    <row r="334">
      <c r="A334" s="9" t="n"/>
      <c r="B334" s="9" t="n"/>
      <c r="C334" s="9" t="n"/>
      <c r="D334" s="9" t="n"/>
      <c r="E334" s="9" t="n"/>
      <c r="F334" s="9" t="n"/>
      <c r="G334" s="9" t="n"/>
      <c r="H334" s="9" t="n"/>
      <c r="I334" s="9" t="n"/>
      <c r="J334" s="9" t="n"/>
      <c r="K334" s="9" t="n"/>
      <c r="L334" s="9" t="n"/>
      <c r="M334" s="9" t="n"/>
      <c r="N334" s="8">
        <f>IF(COUNT(I334:M334)=5,SUM(I334:M334),"")</f>
        <v/>
      </c>
      <c r="O334" s="9">
        <f>IF(N334="","",IF(N334&gt;=16,"Priority",IF(N334&gt;=12,"Active",IF(N334&gt;=8,"Nurture / research","Park"))))</f>
        <v/>
      </c>
      <c r="P334" s="9" t="n"/>
      <c r="Q334" s="9" t="n"/>
      <c r="R334" s="9" t="n"/>
      <c r="S334" s="9" t="n"/>
      <c r="T334" s="9">
        <f>IF(OR(S334="",P334="Won",P334="Lost",P334="Disqualified"),"",IF(TODAY()&gt;S334,TODAY()-S334,0))</f>
        <v/>
      </c>
      <c r="U334" s="9" t="n"/>
      <c r="V334" s="9" t="n"/>
      <c r="W334" s="9" t="n"/>
      <c r="X334" s="9">
        <f>IF(C334="","",IF(COUNTIF($C$4:$C$403,C334)&gt;1,"DUPLICATE",""))</f>
        <v/>
      </c>
      <c r="Y334" s="9" t="n"/>
    </row>
    <row r="335">
      <c r="A335" s="9" t="n"/>
      <c r="B335" s="9" t="n"/>
      <c r="C335" s="9" t="n"/>
      <c r="D335" s="9" t="n"/>
      <c r="E335" s="9" t="n"/>
      <c r="F335" s="9" t="n"/>
      <c r="G335" s="9" t="n"/>
      <c r="H335" s="9" t="n"/>
      <c r="I335" s="9" t="n"/>
      <c r="J335" s="9" t="n"/>
      <c r="K335" s="9" t="n"/>
      <c r="L335" s="9" t="n"/>
      <c r="M335" s="9" t="n"/>
      <c r="N335" s="8">
        <f>IF(COUNT(I335:M335)=5,SUM(I335:M335),"")</f>
        <v/>
      </c>
      <c r="O335" s="9">
        <f>IF(N335="","",IF(N335&gt;=16,"Priority",IF(N335&gt;=12,"Active",IF(N335&gt;=8,"Nurture / research","Park"))))</f>
        <v/>
      </c>
      <c r="P335" s="9" t="n"/>
      <c r="Q335" s="9" t="n"/>
      <c r="R335" s="9" t="n"/>
      <c r="S335" s="9" t="n"/>
      <c r="T335" s="9">
        <f>IF(OR(S335="",P335="Won",P335="Lost",P335="Disqualified"),"",IF(TODAY()&gt;S335,TODAY()-S335,0))</f>
        <v/>
      </c>
      <c r="U335" s="9" t="n"/>
      <c r="V335" s="9" t="n"/>
      <c r="W335" s="9" t="n"/>
      <c r="X335" s="9">
        <f>IF(C335="","",IF(COUNTIF($C$4:$C$403,C335)&gt;1,"DUPLICATE",""))</f>
        <v/>
      </c>
      <c r="Y335" s="9" t="n"/>
    </row>
    <row r="336">
      <c r="A336" s="9" t="n"/>
      <c r="B336" s="9" t="n"/>
      <c r="C336" s="9" t="n"/>
      <c r="D336" s="9" t="n"/>
      <c r="E336" s="9" t="n"/>
      <c r="F336" s="9" t="n"/>
      <c r="G336" s="9" t="n"/>
      <c r="H336" s="9" t="n"/>
      <c r="I336" s="9" t="n"/>
      <c r="J336" s="9" t="n"/>
      <c r="K336" s="9" t="n"/>
      <c r="L336" s="9" t="n"/>
      <c r="M336" s="9" t="n"/>
      <c r="N336" s="8">
        <f>IF(COUNT(I336:M336)=5,SUM(I336:M336),"")</f>
        <v/>
      </c>
      <c r="O336" s="9">
        <f>IF(N336="","",IF(N336&gt;=16,"Priority",IF(N336&gt;=12,"Active",IF(N336&gt;=8,"Nurture / research","Park"))))</f>
        <v/>
      </c>
      <c r="P336" s="9" t="n"/>
      <c r="Q336" s="9" t="n"/>
      <c r="R336" s="9" t="n"/>
      <c r="S336" s="9" t="n"/>
      <c r="T336" s="9">
        <f>IF(OR(S336="",P336="Won",P336="Lost",P336="Disqualified"),"",IF(TODAY()&gt;S336,TODAY()-S336,0))</f>
        <v/>
      </c>
      <c r="U336" s="9" t="n"/>
      <c r="V336" s="9" t="n"/>
      <c r="W336" s="9" t="n"/>
      <c r="X336" s="9">
        <f>IF(C336="","",IF(COUNTIF($C$4:$C$403,C336)&gt;1,"DUPLICATE",""))</f>
        <v/>
      </c>
      <c r="Y336" s="9" t="n"/>
    </row>
    <row r="337">
      <c r="A337" s="9" t="n"/>
      <c r="B337" s="9" t="n"/>
      <c r="C337" s="9" t="n"/>
      <c r="D337" s="9" t="n"/>
      <c r="E337" s="9" t="n"/>
      <c r="F337" s="9" t="n"/>
      <c r="G337" s="9" t="n"/>
      <c r="H337" s="9" t="n"/>
      <c r="I337" s="9" t="n"/>
      <c r="J337" s="9" t="n"/>
      <c r="K337" s="9" t="n"/>
      <c r="L337" s="9" t="n"/>
      <c r="M337" s="9" t="n"/>
      <c r="N337" s="8">
        <f>IF(COUNT(I337:M337)=5,SUM(I337:M337),"")</f>
        <v/>
      </c>
      <c r="O337" s="9">
        <f>IF(N337="","",IF(N337&gt;=16,"Priority",IF(N337&gt;=12,"Active",IF(N337&gt;=8,"Nurture / research","Park"))))</f>
        <v/>
      </c>
      <c r="P337" s="9" t="n"/>
      <c r="Q337" s="9" t="n"/>
      <c r="R337" s="9" t="n"/>
      <c r="S337" s="9" t="n"/>
      <c r="T337" s="9">
        <f>IF(OR(S337="",P337="Won",P337="Lost",P337="Disqualified"),"",IF(TODAY()&gt;S337,TODAY()-S337,0))</f>
        <v/>
      </c>
      <c r="U337" s="9" t="n"/>
      <c r="V337" s="9" t="n"/>
      <c r="W337" s="9" t="n"/>
      <c r="X337" s="9">
        <f>IF(C337="","",IF(COUNTIF($C$4:$C$403,C337)&gt;1,"DUPLICATE",""))</f>
        <v/>
      </c>
      <c r="Y337" s="9" t="n"/>
    </row>
    <row r="338">
      <c r="A338" s="9" t="n"/>
      <c r="B338" s="9" t="n"/>
      <c r="C338" s="9" t="n"/>
      <c r="D338" s="9" t="n"/>
      <c r="E338" s="9" t="n"/>
      <c r="F338" s="9" t="n"/>
      <c r="G338" s="9" t="n"/>
      <c r="H338" s="9" t="n"/>
      <c r="I338" s="9" t="n"/>
      <c r="J338" s="9" t="n"/>
      <c r="K338" s="9" t="n"/>
      <c r="L338" s="9" t="n"/>
      <c r="M338" s="9" t="n"/>
      <c r="N338" s="8">
        <f>IF(COUNT(I338:M338)=5,SUM(I338:M338),"")</f>
        <v/>
      </c>
      <c r="O338" s="9">
        <f>IF(N338="","",IF(N338&gt;=16,"Priority",IF(N338&gt;=12,"Active",IF(N338&gt;=8,"Nurture / research","Park"))))</f>
        <v/>
      </c>
      <c r="P338" s="9" t="n"/>
      <c r="Q338" s="9" t="n"/>
      <c r="R338" s="9" t="n"/>
      <c r="S338" s="9" t="n"/>
      <c r="T338" s="9">
        <f>IF(OR(S338="",P338="Won",P338="Lost",P338="Disqualified"),"",IF(TODAY()&gt;S338,TODAY()-S338,0))</f>
        <v/>
      </c>
      <c r="U338" s="9" t="n"/>
      <c r="V338" s="9" t="n"/>
      <c r="W338" s="9" t="n"/>
      <c r="X338" s="9">
        <f>IF(C338="","",IF(COUNTIF($C$4:$C$403,C338)&gt;1,"DUPLICATE",""))</f>
        <v/>
      </c>
      <c r="Y338" s="9" t="n"/>
    </row>
    <row r="339">
      <c r="A339" s="9" t="n"/>
      <c r="B339" s="9" t="n"/>
      <c r="C339" s="9" t="n"/>
      <c r="D339" s="9" t="n"/>
      <c r="E339" s="9" t="n"/>
      <c r="F339" s="9" t="n"/>
      <c r="G339" s="9" t="n"/>
      <c r="H339" s="9" t="n"/>
      <c r="I339" s="9" t="n"/>
      <c r="J339" s="9" t="n"/>
      <c r="K339" s="9" t="n"/>
      <c r="L339" s="9" t="n"/>
      <c r="M339" s="9" t="n"/>
      <c r="N339" s="8">
        <f>IF(COUNT(I339:M339)=5,SUM(I339:M339),"")</f>
        <v/>
      </c>
      <c r="O339" s="9">
        <f>IF(N339="","",IF(N339&gt;=16,"Priority",IF(N339&gt;=12,"Active",IF(N339&gt;=8,"Nurture / research","Park"))))</f>
        <v/>
      </c>
      <c r="P339" s="9" t="n"/>
      <c r="Q339" s="9" t="n"/>
      <c r="R339" s="9" t="n"/>
      <c r="S339" s="9" t="n"/>
      <c r="T339" s="9">
        <f>IF(OR(S339="",P339="Won",P339="Lost",P339="Disqualified"),"",IF(TODAY()&gt;S339,TODAY()-S339,0))</f>
        <v/>
      </c>
      <c r="U339" s="9" t="n"/>
      <c r="V339" s="9" t="n"/>
      <c r="W339" s="9" t="n"/>
      <c r="X339" s="9">
        <f>IF(C339="","",IF(COUNTIF($C$4:$C$403,C339)&gt;1,"DUPLICATE",""))</f>
        <v/>
      </c>
      <c r="Y339" s="9" t="n"/>
    </row>
    <row r="340">
      <c r="A340" s="9" t="n"/>
      <c r="B340" s="9" t="n"/>
      <c r="C340" s="9" t="n"/>
      <c r="D340" s="9" t="n"/>
      <c r="E340" s="9" t="n"/>
      <c r="F340" s="9" t="n"/>
      <c r="G340" s="9" t="n"/>
      <c r="H340" s="9" t="n"/>
      <c r="I340" s="9" t="n"/>
      <c r="J340" s="9" t="n"/>
      <c r="K340" s="9" t="n"/>
      <c r="L340" s="9" t="n"/>
      <c r="M340" s="9" t="n"/>
      <c r="N340" s="8">
        <f>IF(COUNT(I340:M340)=5,SUM(I340:M340),"")</f>
        <v/>
      </c>
      <c r="O340" s="9">
        <f>IF(N340="","",IF(N340&gt;=16,"Priority",IF(N340&gt;=12,"Active",IF(N340&gt;=8,"Nurture / research","Park"))))</f>
        <v/>
      </c>
      <c r="P340" s="9" t="n"/>
      <c r="Q340" s="9" t="n"/>
      <c r="R340" s="9" t="n"/>
      <c r="S340" s="9" t="n"/>
      <c r="T340" s="9">
        <f>IF(OR(S340="",P340="Won",P340="Lost",P340="Disqualified"),"",IF(TODAY()&gt;S340,TODAY()-S340,0))</f>
        <v/>
      </c>
      <c r="U340" s="9" t="n"/>
      <c r="V340" s="9" t="n"/>
      <c r="W340" s="9" t="n"/>
      <c r="X340" s="9">
        <f>IF(C340="","",IF(COUNTIF($C$4:$C$403,C340)&gt;1,"DUPLICATE",""))</f>
        <v/>
      </c>
      <c r="Y340" s="9" t="n"/>
    </row>
    <row r="341">
      <c r="A341" s="9" t="n"/>
      <c r="B341" s="9" t="n"/>
      <c r="C341" s="9" t="n"/>
      <c r="D341" s="9" t="n"/>
      <c r="E341" s="9" t="n"/>
      <c r="F341" s="9" t="n"/>
      <c r="G341" s="9" t="n"/>
      <c r="H341" s="9" t="n"/>
      <c r="I341" s="9" t="n"/>
      <c r="J341" s="9" t="n"/>
      <c r="K341" s="9" t="n"/>
      <c r="L341" s="9" t="n"/>
      <c r="M341" s="9" t="n"/>
      <c r="N341" s="8">
        <f>IF(COUNT(I341:M341)=5,SUM(I341:M341),"")</f>
        <v/>
      </c>
      <c r="O341" s="9">
        <f>IF(N341="","",IF(N341&gt;=16,"Priority",IF(N341&gt;=12,"Active",IF(N341&gt;=8,"Nurture / research","Park"))))</f>
        <v/>
      </c>
      <c r="P341" s="9" t="n"/>
      <c r="Q341" s="9" t="n"/>
      <c r="R341" s="9" t="n"/>
      <c r="S341" s="9" t="n"/>
      <c r="T341" s="9">
        <f>IF(OR(S341="",P341="Won",P341="Lost",P341="Disqualified"),"",IF(TODAY()&gt;S341,TODAY()-S341,0))</f>
        <v/>
      </c>
      <c r="U341" s="9" t="n"/>
      <c r="V341" s="9" t="n"/>
      <c r="W341" s="9" t="n"/>
      <c r="X341" s="9">
        <f>IF(C341="","",IF(COUNTIF($C$4:$C$403,C341)&gt;1,"DUPLICATE",""))</f>
        <v/>
      </c>
      <c r="Y341" s="9" t="n"/>
    </row>
    <row r="342">
      <c r="A342" s="9" t="n"/>
      <c r="B342" s="9" t="n"/>
      <c r="C342" s="9" t="n"/>
      <c r="D342" s="9" t="n"/>
      <c r="E342" s="9" t="n"/>
      <c r="F342" s="9" t="n"/>
      <c r="G342" s="9" t="n"/>
      <c r="H342" s="9" t="n"/>
      <c r="I342" s="9" t="n"/>
      <c r="J342" s="9" t="n"/>
      <c r="K342" s="9" t="n"/>
      <c r="L342" s="9" t="n"/>
      <c r="M342" s="9" t="n"/>
      <c r="N342" s="8">
        <f>IF(COUNT(I342:M342)=5,SUM(I342:M342),"")</f>
        <v/>
      </c>
      <c r="O342" s="9">
        <f>IF(N342="","",IF(N342&gt;=16,"Priority",IF(N342&gt;=12,"Active",IF(N342&gt;=8,"Nurture / research","Park"))))</f>
        <v/>
      </c>
      <c r="P342" s="9" t="n"/>
      <c r="Q342" s="9" t="n"/>
      <c r="R342" s="9" t="n"/>
      <c r="S342" s="9" t="n"/>
      <c r="T342" s="9">
        <f>IF(OR(S342="",P342="Won",P342="Lost",P342="Disqualified"),"",IF(TODAY()&gt;S342,TODAY()-S342,0))</f>
        <v/>
      </c>
      <c r="U342" s="9" t="n"/>
      <c r="V342" s="9" t="n"/>
      <c r="W342" s="9" t="n"/>
      <c r="X342" s="9">
        <f>IF(C342="","",IF(COUNTIF($C$4:$C$403,C342)&gt;1,"DUPLICATE",""))</f>
        <v/>
      </c>
      <c r="Y342" s="9" t="n"/>
    </row>
    <row r="343">
      <c r="A343" s="9" t="n"/>
      <c r="B343" s="9" t="n"/>
      <c r="C343" s="9" t="n"/>
      <c r="D343" s="9" t="n"/>
      <c r="E343" s="9" t="n"/>
      <c r="F343" s="9" t="n"/>
      <c r="G343" s="9" t="n"/>
      <c r="H343" s="9" t="n"/>
      <c r="I343" s="9" t="n"/>
      <c r="J343" s="9" t="n"/>
      <c r="K343" s="9" t="n"/>
      <c r="L343" s="9" t="n"/>
      <c r="M343" s="9" t="n"/>
      <c r="N343" s="8">
        <f>IF(COUNT(I343:M343)=5,SUM(I343:M343),"")</f>
        <v/>
      </c>
      <c r="O343" s="9">
        <f>IF(N343="","",IF(N343&gt;=16,"Priority",IF(N343&gt;=12,"Active",IF(N343&gt;=8,"Nurture / research","Park"))))</f>
        <v/>
      </c>
      <c r="P343" s="9" t="n"/>
      <c r="Q343" s="9" t="n"/>
      <c r="R343" s="9" t="n"/>
      <c r="S343" s="9" t="n"/>
      <c r="T343" s="9">
        <f>IF(OR(S343="",P343="Won",P343="Lost",P343="Disqualified"),"",IF(TODAY()&gt;S343,TODAY()-S343,0))</f>
        <v/>
      </c>
      <c r="U343" s="9" t="n"/>
      <c r="V343" s="9" t="n"/>
      <c r="W343" s="9" t="n"/>
      <c r="X343" s="9">
        <f>IF(C343="","",IF(COUNTIF($C$4:$C$403,C343)&gt;1,"DUPLICATE",""))</f>
        <v/>
      </c>
      <c r="Y343" s="9" t="n"/>
    </row>
    <row r="344">
      <c r="A344" s="9" t="n"/>
      <c r="B344" s="9" t="n"/>
      <c r="C344" s="9" t="n"/>
      <c r="D344" s="9" t="n"/>
      <c r="E344" s="9" t="n"/>
      <c r="F344" s="9" t="n"/>
      <c r="G344" s="9" t="n"/>
      <c r="H344" s="9" t="n"/>
      <c r="I344" s="9" t="n"/>
      <c r="J344" s="9" t="n"/>
      <c r="K344" s="9" t="n"/>
      <c r="L344" s="9" t="n"/>
      <c r="M344" s="9" t="n"/>
      <c r="N344" s="8">
        <f>IF(COUNT(I344:M344)=5,SUM(I344:M344),"")</f>
        <v/>
      </c>
      <c r="O344" s="9">
        <f>IF(N344="","",IF(N344&gt;=16,"Priority",IF(N344&gt;=12,"Active",IF(N344&gt;=8,"Nurture / research","Park"))))</f>
        <v/>
      </c>
      <c r="P344" s="9" t="n"/>
      <c r="Q344" s="9" t="n"/>
      <c r="R344" s="9" t="n"/>
      <c r="S344" s="9" t="n"/>
      <c r="T344" s="9">
        <f>IF(OR(S344="",P344="Won",P344="Lost",P344="Disqualified"),"",IF(TODAY()&gt;S344,TODAY()-S344,0))</f>
        <v/>
      </c>
      <c r="U344" s="9" t="n"/>
      <c r="V344" s="9" t="n"/>
      <c r="W344" s="9" t="n"/>
      <c r="X344" s="9">
        <f>IF(C344="","",IF(COUNTIF($C$4:$C$403,C344)&gt;1,"DUPLICATE",""))</f>
        <v/>
      </c>
      <c r="Y344" s="9" t="n"/>
    </row>
    <row r="345">
      <c r="A345" s="9" t="n"/>
      <c r="B345" s="9" t="n"/>
      <c r="C345" s="9" t="n"/>
      <c r="D345" s="9" t="n"/>
      <c r="E345" s="9" t="n"/>
      <c r="F345" s="9" t="n"/>
      <c r="G345" s="9" t="n"/>
      <c r="H345" s="9" t="n"/>
      <c r="I345" s="9" t="n"/>
      <c r="J345" s="9" t="n"/>
      <c r="K345" s="9" t="n"/>
      <c r="L345" s="9" t="n"/>
      <c r="M345" s="9" t="n"/>
      <c r="N345" s="8">
        <f>IF(COUNT(I345:M345)=5,SUM(I345:M345),"")</f>
        <v/>
      </c>
      <c r="O345" s="9">
        <f>IF(N345="","",IF(N345&gt;=16,"Priority",IF(N345&gt;=12,"Active",IF(N345&gt;=8,"Nurture / research","Park"))))</f>
        <v/>
      </c>
      <c r="P345" s="9" t="n"/>
      <c r="Q345" s="9" t="n"/>
      <c r="R345" s="9" t="n"/>
      <c r="S345" s="9" t="n"/>
      <c r="T345" s="9">
        <f>IF(OR(S345="",P345="Won",P345="Lost",P345="Disqualified"),"",IF(TODAY()&gt;S345,TODAY()-S345,0))</f>
        <v/>
      </c>
      <c r="U345" s="9" t="n"/>
      <c r="V345" s="9" t="n"/>
      <c r="W345" s="9" t="n"/>
      <c r="X345" s="9">
        <f>IF(C345="","",IF(COUNTIF($C$4:$C$403,C345)&gt;1,"DUPLICATE",""))</f>
        <v/>
      </c>
      <c r="Y345" s="9" t="n"/>
    </row>
    <row r="346">
      <c r="A346" s="9" t="n"/>
      <c r="B346" s="9" t="n"/>
      <c r="C346" s="9" t="n"/>
      <c r="D346" s="9" t="n"/>
      <c r="E346" s="9" t="n"/>
      <c r="F346" s="9" t="n"/>
      <c r="G346" s="9" t="n"/>
      <c r="H346" s="9" t="n"/>
      <c r="I346" s="9" t="n"/>
      <c r="J346" s="9" t="n"/>
      <c r="K346" s="9" t="n"/>
      <c r="L346" s="9" t="n"/>
      <c r="M346" s="9" t="n"/>
      <c r="N346" s="8">
        <f>IF(COUNT(I346:M346)=5,SUM(I346:M346),"")</f>
        <v/>
      </c>
      <c r="O346" s="9">
        <f>IF(N346="","",IF(N346&gt;=16,"Priority",IF(N346&gt;=12,"Active",IF(N346&gt;=8,"Nurture / research","Park"))))</f>
        <v/>
      </c>
      <c r="P346" s="9" t="n"/>
      <c r="Q346" s="9" t="n"/>
      <c r="R346" s="9" t="n"/>
      <c r="S346" s="9" t="n"/>
      <c r="T346" s="9">
        <f>IF(OR(S346="",P346="Won",P346="Lost",P346="Disqualified"),"",IF(TODAY()&gt;S346,TODAY()-S346,0))</f>
        <v/>
      </c>
      <c r="U346" s="9" t="n"/>
      <c r="V346" s="9" t="n"/>
      <c r="W346" s="9" t="n"/>
      <c r="X346" s="9">
        <f>IF(C346="","",IF(COUNTIF($C$4:$C$403,C346)&gt;1,"DUPLICATE",""))</f>
        <v/>
      </c>
      <c r="Y346" s="9" t="n"/>
    </row>
    <row r="347">
      <c r="A347" s="9" t="n"/>
      <c r="B347" s="9" t="n"/>
      <c r="C347" s="9" t="n"/>
      <c r="D347" s="9" t="n"/>
      <c r="E347" s="9" t="n"/>
      <c r="F347" s="9" t="n"/>
      <c r="G347" s="9" t="n"/>
      <c r="H347" s="9" t="n"/>
      <c r="I347" s="9" t="n"/>
      <c r="J347" s="9" t="n"/>
      <c r="K347" s="9" t="n"/>
      <c r="L347" s="9" t="n"/>
      <c r="M347" s="9" t="n"/>
      <c r="N347" s="8">
        <f>IF(COUNT(I347:M347)=5,SUM(I347:M347),"")</f>
        <v/>
      </c>
      <c r="O347" s="9">
        <f>IF(N347="","",IF(N347&gt;=16,"Priority",IF(N347&gt;=12,"Active",IF(N347&gt;=8,"Nurture / research","Park"))))</f>
        <v/>
      </c>
      <c r="P347" s="9" t="n"/>
      <c r="Q347" s="9" t="n"/>
      <c r="R347" s="9" t="n"/>
      <c r="S347" s="9" t="n"/>
      <c r="T347" s="9">
        <f>IF(OR(S347="",P347="Won",P347="Lost",P347="Disqualified"),"",IF(TODAY()&gt;S347,TODAY()-S347,0))</f>
        <v/>
      </c>
      <c r="U347" s="9" t="n"/>
      <c r="V347" s="9" t="n"/>
      <c r="W347" s="9" t="n"/>
      <c r="X347" s="9">
        <f>IF(C347="","",IF(COUNTIF($C$4:$C$403,C347)&gt;1,"DUPLICATE",""))</f>
        <v/>
      </c>
      <c r="Y347" s="9" t="n"/>
    </row>
    <row r="348">
      <c r="A348" s="9" t="n"/>
      <c r="B348" s="9" t="n"/>
      <c r="C348" s="9" t="n"/>
      <c r="D348" s="9" t="n"/>
      <c r="E348" s="9" t="n"/>
      <c r="F348" s="9" t="n"/>
      <c r="G348" s="9" t="n"/>
      <c r="H348" s="9" t="n"/>
      <c r="I348" s="9" t="n"/>
      <c r="J348" s="9" t="n"/>
      <c r="K348" s="9" t="n"/>
      <c r="L348" s="9" t="n"/>
      <c r="M348" s="9" t="n"/>
      <c r="N348" s="8">
        <f>IF(COUNT(I348:M348)=5,SUM(I348:M348),"")</f>
        <v/>
      </c>
      <c r="O348" s="9">
        <f>IF(N348="","",IF(N348&gt;=16,"Priority",IF(N348&gt;=12,"Active",IF(N348&gt;=8,"Nurture / research","Park"))))</f>
        <v/>
      </c>
      <c r="P348" s="9" t="n"/>
      <c r="Q348" s="9" t="n"/>
      <c r="R348" s="9" t="n"/>
      <c r="S348" s="9" t="n"/>
      <c r="T348" s="9">
        <f>IF(OR(S348="",P348="Won",P348="Lost",P348="Disqualified"),"",IF(TODAY()&gt;S348,TODAY()-S348,0))</f>
        <v/>
      </c>
      <c r="U348" s="9" t="n"/>
      <c r="V348" s="9" t="n"/>
      <c r="W348" s="9" t="n"/>
      <c r="X348" s="9">
        <f>IF(C348="","",IF(COUNTIF($C$4:$C$403,C348)&gt;1,"DUPLICATE",""))</f>
        <v/>
      </c>
      <c r="Y348" s="9" t="n"/>
    </row>
    <row r="349">
      <c r="A349" s="9" t="n"/>
      <c r="B349" s="9" t="n"/>
      <c r="C349" s="9" t="n"/>
      <c r="D349" s="9" t="n"/>
      <c r="E349" s="9" t="n"/>
      <c r="F349" s="9" t="n"/>
      <c r="G349" s="9" t="n"/>
      <c r="H349" s="9" t="n"/>
      <c r="I349" s="9" t="n"/>
      <c r="J349" s="9" t="n"/>
      <c r="K349" s="9" t="n"/>
      <c r="L349" s="9" t="n"/>
      <c r="M349" s="9" t="n"/>
      <c r="N349" s="8">
        <f>IF(COUNT(I349:M349)=5,SUM(I349:M349),"")</f>
        <v/>
      </c>
      <c r="O349" s="9">
        <f>IF(N349="","",IF(N349&gt;=16,"Priority",IF(N349&gt;=12,"Active",IF(N349&gt;=8,"Nurture / research","Park"))))</f>
        <v/>
      </c>
      <c r="P349" s="9" t="n"/>
      <c r="Q349" s="9" t="n"/>
      <c r="R349" s="9" t="n"/>
      <c r="S349" s="9" t="n"/>
      <c r="T349" s="9">
        <f>IF(OR(S349="",P349="Won",P349="Lost",P349="Disqualified"),"",IF(TODAY()&gt;S349,TODAY()-S349,0))</f>
        <v/>
      </c>
      <c r="U349" s="9" t="n"/>
      <c r="V349" s="9" t="n"/>
      <c r="W349" s="9" t="n"/>
      <c r="X349" s="9">
        <f>IF(C349="","",IF(COUNTIF($C$4:$C$403,C349)&gt;1,"DUPLICATE",""))</f>
        <v/>
      </c>
      <c r="Y349" s="9" t="n"/>
    </row>
    <row r="350">
      <c r="A350" s="9" t="n"/>
      <c r="B350" s="9" t="n"/>
      <c r="C350" s="9" t="n"/>
      <c r="D350" s="9" t="n"/>
      <c r="E350" s="9" t="n"/>
      <c r="F350" s="9" t="n"/>
      <c r="G350" s="9" t="n"/>
      <c r="H350" s="9" t="n"/>
      <c r="I350" s="9" t="n"/>
      <c r="J350" s="9" t="n"/>
      <c r="K350" s="9" t="n"/>
      <c r="L350" s="9" t="n"/>
      <c r="M350" s="9" t="n"/>
      <c r="N350" s="8">
        <f>IF(COUNT(I350:M350)=5,SUM(I350:M350),"")</f>
        <v/>
      </c>
      <c r="O350" s="9">
        <f>IF(N350="","",IF(N350&gt;=16,"Priority",IF(N350&gt;=12,"Active",IF(N350&gt;=8,"Nurture / research","Park"))))</f>
        <v/>
      </c>
      <c r="P350" s="9" t="n"/>
      <c r="Q350" s="9" t="n"/>
      <c r="R350" s="9" t="n"/>
      <c r="S350" s="9" t="n"/>
      <c r="T350" s="9">
        <f>IF(OR(S350="",P350="Won",P350="Lost",P350="Disqualified"),"",IF(TODAY()&gt;S350,TODAY()-S350,0))</f>
        <v/>
      </c>
      <c r="U350" s="9" t="n"/>
      <c r="V350" s="9" t="n"/>
      <c r="W350" s="9" t="n"/>
      <c r="X350" s="9">
        <f>IF(C350="","",IF(COUNTIF($C$4:$C$403,C350)&gt;1,"DUPLICATE",""))</f>
        <v/>
      </c>
      <c r="Y350" s="9" t="n"/>
    </row>
    <row r="351">
      <c r="A351" s="9" t="n"/>
      <c r="B351" s="9" t="n"/>
      <c r="C351" s="9" t="n"/>
      <c r="D351" s="9" t="n"/>
      <c r="E351" s="9" t="n"/>
      <c r="F351" s="9" t="n"/>
      <c r="G351" s="9" t="n"/>
      <c r="H351" s="9" t="n"/>
      <c r="I351" s="9" t="n"/>
      <c r="J351" s="9" t="n"/>
      <c r="K351" s="9" t="n"/>
      <c r="L351" s="9" t="n"/>
      <c r="M351" s="9" t="n"/>
      <c r="N351" s="8">
        <f>IF(COUNT(I351:M351)=5,SUM(I351:M351),"")</f>
        <v/>
      </c>
      <c r="O351" s="9">
        <f>IF(N351="","",IF(N351&gt;=16,"Priority",IF(N351&gt;=12,"Active",IF(N351&gt;=8,"Nurture / research","Park"))))</f>
        <v/>
      </c>
      <c r="P351" s="9" t="n"/>
      <c r="Q351" s="9" t="n"/>
      <c r="R351" s="9" t="n"/>
      <c r="S351" s="9" t="n"/>
      <c r="T351" s="9">
        <f>IF(OR(S351="",P351="Won",P351="Lost",P351="Disqualified"),"",IF(TODAY()&gt;S351,TODAY()-S351,0))</f>
        <v/>
      </c>
      <c r="U351" s="9" t="n"/>
      <c r="V351" s="9" t="n"/>
      <c r="W351" s="9" t="n"/>
      <c r="X351" s="9">
        <f>IF(C351="","",IF(COUNTIF($C$4:$C$403,C351)&gt;1,"DUPLICATE",""))</f>
        <v/>
      </c>
      <c r="Y351" s="9" t="n"/>
    </row>
    <row r="352">
      <c r="A352" s="9" t="n"/>
      <c r="B352" s="9" t="n"/>
      <c r="C352" s="9" t="n"/>
      <c r="D352" s="9" t="n"/>
      <c r="E352" s="9" t="n"/>
      <c r="F352" s="9" t="n"/>
      <c r="G352" s="9" t="n"/>
      <c r="H352" s="9" t="n"/>
      <c r="I352" s="9" t="n"/>
      <c r="J352" s="9" t="n"/>
      <c r="K352" s="9" t="n"/>
      <c r="L352" s="9" t="n"/>
      <c r="M352" s="9" t="n"/>
      <c r="N352" s="8">
        <f>IF(COUNT(I352:M352)=5,SUM(I352:M352),"")</f>
        <v/>
      </c>
      <c r="O352" s="9">
        <f>IF(N352="","",IF(N352&gt;=16,"Priority",IF(N352&gt;=12,"Active",IF(N352&gt;=8,"Nurture / research","Park"))))</f>
        <v/>
      </c>
      <c r="P352" s="9" t="n"/>
      <c r="Q352" s="9" t="n"/>
      <c r="R352" s="9" t="n"/>
      <c r="S352" s="9" t="n"/>
      <c r="T352" s="9">
        <f>IF(OR(S352="",P352="Won",P352="Lost",P352="Disqualified"),"",IF(TODAY()&gt;S352,TODAY()-S352,0))</f>
        <v/>
      </c>
      <c r="U352" s="9" t="n"/>
      <c r="V352" s="9" t="n"/>
      <c r="W352" s="9" t="n"/>
      <c r="X352" s="9">
        <f>IF(C352="","",IF(COUNTIF($C$4:$C$403,C352)&gt;1,"DUPLICATE",""))</f>
        <v/>
      </c>
      <c r="Y352" s="9" t="n"/>
    </row>
    <row r="353">
      <c r="A353" s="9" t="n"/>
      <c r="B353" s="9" t="n"/>
      <c r="C353" s="9" t="n"/>
      <c r="D353" s="9" t="n"/>
      <c r="E353" s="9" t="n"/>
      <c r="F353" s="9" t="n"/>
      <c r="G353" s="9" t="n"/>
      <c r="H353" s="9" t="n"/>
      <c r="I353" s="9" t="n"/>
      <c r="J353" s="9" t="n"/>
      <c r="K353" s="9" t="n"/>
      <c r="L353" s="9" t="n"/>
      <c r="M353" s="9" t="n"/>
      <c r="N353" s="8">
        <f>IF(COUNT(I353:M353)=5,SUM(I353:M353),"")</f>
        <v/>
      </c>
      <c r="O353" s="9">
        <f>IF(N353="","",IF(N353&gt;=16,"Priority",IF(N353&gt;=12,"Active",IF(N353&gt;=8,"Nurture / research","Park"))))</f>
        <v/>
      </c>
      <c r="P353" s="9" t="n"/>
      <c r="Q353" s="9" t="n"/>
      <c r="R353" s="9" t="n"/>
      <c r="S353" s="9" t="n"/>
      <c r="T353" s="9">
        <f>IF(OR(S353="",P353="Won",P353="Lost",P353="Disqualified"),"",IF(TODAY()&gt;S353,TODAY()-S353,0))</f>
        <v/>
      </c>
      <c r="U353" s="9" t="n"/>
      <c r="V353" s="9" t="n"/>
      <c r="W353" s="9" t="n"/>
      <c r="X353" s="9">
        <f>IF(C353="","",IF(COUNTIF($C$4:$C$403,C353)&gt;1,"DUPLICATE",""))</f>
        <v/>
      </c>
      <c r="Y353" s="9" t="n"/>
    </row>
    <row r="354">
      <c r="A354" s="9" t="n"/>
      <c r="B354" s="9" t="n"/>
      <c r="C354" s="9" t="n"/>
      <c r="D354" s="9" t="n"/>
      <c r="E354" s="9" t="n"/>
      <c r="F354" s="9" t="n"/>
      <c r="G354" s="9" t="n"/>
      <c r="H354" s="9" t="n"/>
      <c r="I354" s="9" t="n"/>
      <c r="J354" s="9" t="n"/>
      <c r="K354" s="9" t="n"/>
      <c r="L354" s="9" t="n"/>
      <c r="M354" s="9" t="n"/>
      <c r="N354" s="8">
        <f>IF(COUNT(I354:M354)=5,SUM(I354:M354),"")</f>
        <v/>
      </c>
      <c r="O354" s="9">
        <f>IF(N354="","",IF(N354&gt;=16,"Priority",IF(N354&gt;=12,"Active",IF(N354&gt;=8,"Nurture / research","Park"))))</f>
        <v/>
      </c>
      <c r="P354" s="9" t="n"/>
      <c r="Q354" s="9" t="n"/>
      <c r="R354" s="9" t="n"/>
      <c r="S354" s="9" t="n"/>
      <c r="T354" s="9">
        <f>IF(OR(S354="",P354="Won",P354="Lost",P354="Disqualified"),"",IF(TODAY()&gt;S354,TODAY()-S354,0))</f>
        <v/>
      </c>
      <c r="U354" s="9" t="n"/>
      <c r="V354" s="9" t="n"/>
      <c r="W354" s="9" t="n"/>
      <c r="X354" s="9">
        <f>IF(C354="","",IF(COUNTIF($C$4:$C$403,C354)&gt;1,"DUPLICATE",""))</f>
        <v/>
      </c>
      <c r="Y354" s="9" t="n"/>
    </row>
    <row r="355">
      <c r="A355" s="9" t="n"/>
      <c r="B355" s="9" t="n"/>
      <c r="C355" s="9" t="n"/>
      <c r="D355" s="9" t="n"/>
      <c r="E355" s="9" t="n"/>
      <c r="F355" s="9" t="n"/>
      <c r="G355" s="9" t="n"/>
      <c r="H355" s="9" t="n"/>
      <c r="I355" s="9" t="n"/>
      <c r="J355" s="9" t="n"/>
      <c r="K355" s="9" t="n"/>
      <c r="L355" s="9" t="n"/>
      <c r="M355" s="9" t="n"/>
      <c r="N355" s="8">
        <f>IF(COUNT(I355:M355)=5,SUM(I355:M355),"")</f>
        <v/>
      </c>
      <c r="O355" s="9">
        <f>IF(N355="","",IF(N355&gt;=16,"Priority",IF(N355&gt;=12,"Active",IF(N355&gt;=8,"Nurture / research","Park"))))</f>
        <v/>
      </c>
      <c r="P355" s="9" t="n"/>
      <c r="Q355" s="9" t="n"/>
      <c r="R355" s="9" t="n"/>
      <c r="S355" s="9" t="n"/>
      <c r="T355" s="9">
        <f>IF(OR(S355="",P355="Won",P355="Lost",P355="Disqualified"),"",IF(TODAY()&gt;S355,TODAY()-S355,0))</f>
        <v/>
      </c>
      <c r="U355" s="9" t="n"/>
      <c r="V355" s="9" t="n"/>
      <c r="W355" s="9" t="n"/>
      <c r="X355" s="9">
        <f>IF(C355="","",IF(COUNTIF($C$4:$C$403,C355)&gt;1,"DUPLICATE",""))</f>
        <v/>
      </c>
      <c r="Y355" s="9" t="n"/>
    </row>
    <row r="356">
      <c r="A356" s="9" t="n"/>
      <c r="B356" s="9" t="n"/>
      <c r="C356" s="9" t="n"/>
      <c r="D356" s="9" t="n"/>
      <c r="E356" s="9" t="n"/>
      <c r="F356" s="9" t="n"/>
      <c r="G356" s="9" t="n"/>
      <c r="H356" s="9" t="n"/>
      <c r="I356" s="9" t="n"/>
      <c r="J356" s="9" t="n"/>
      <c r="K356" s="9" t="n"/>
      <c r="L356" s="9" t="n"/>
      <c r="M356" s="9" t="n"/>
      <c r="N356" s="8">
        <f>IF(COUNT(I356:M356)=5,SUM(I356:M356),"")</f>
        <v/>
      </c>
      <c r="O356" s="9">
        <f>IF(N356="","",IF(N356&gt;=16,"Priority",IF(N356&gt;=12,"Active",IF(N356&gt;=8,"Nurture / research","Park"))))</f>
        <v/>
      </c>
      <c r="P356" s="9" t="n"/>
      <c r="Q356" s="9" t="n"/>
      <c r="R356" s="9" t="n"/>
      <c r="S356" s="9" t="n"/>
      <c r="T356" s="9">
        <f>IF(OR(S356="",P356="Won",P356="Lost",P356="Disqualified"),"",IF(TODAY()&gt;S356,TODAY()-S356,0))</f>
        <v/>
      </c>
      <c r="U356" s="9" t="n"/>
      <c r="V356" s="9" t="n"/>
      <c r="W356" s="9" t="n"/>
      <c r="X356" s="9">
        <f>IF(C356="","",IF(COUNTIF($C$4:$C$403,C356)&gt;1,"DUPLICATE",""))</f>
        <v/>
      </c>
      <c r="Y356" s="9" t="n"/>
    </row>
    <row r="357">
      <c r="A357" s="9" t="n"/>
      <c r="B357" s="9" t="n"/>
      <c r="C357" s="9" t="n"/>
      <c r="D357" s="9" t="n"/>
      <c r="E357" s="9" t="n"/>
      <c r="F357" s="9" t="n"/>
      <c r="G357" s="9" t="n"/>
      <c r="H357" s="9" t="n"/>
      <c r="I357" s="9" t="n"/>
      <c r="J357" s="9" t="n"/>
      <c r="K357" s="9" t="n"/>
      <c r="L357" s="9" t="n"/>
      <c r="M357" s="9" t="n"/>
      <c r="N357" s="8">
        <f>IF(COUNT(I357:M357)=5,SUM(I357:M357),"")</f>
        <v/>
      </c>
      <c r="O357" s="9">
        <f>IF(N357="","",IF(N357&gt;=16,"Priority",IF(N357&gt;=12,"Active",IF(N357&gt;=8,"Nurture / research","Park"))))</f>
        <v/>
      </c>
      <c r="P357" s="9" t="n"/>
      <c r="Q357" s="9" t="n"/>
      <c r="R357" s="9" t="n"/>
      <c r="S357" s="9" t="n"/>
      <c r="T357" s="9">
        <f>IF(OR(S357="",P357="Won",P357="Lost",P357="Disqualified"),"",IF(TODAY()&gt;S357,TODAY()-S357,0))</f>
        <v/>
      </c>
      <c r="U357" s="9" t="n"/>
      <c r="V357" s="9" t="n"/>
      <c r="W357" s="9" t="n"/>
      <c r="X357" s="9">
        <f>IF(C357="","",IF(COUNTIF($C$4:$C$403,C357)&gt;1,"DUPLICATE",""))</f>
        <v/>
      </c>
      <c r="Y357" s="9" t="n"/>
    </row>
    <row r="358">
      <c r="A358" s="9" t="n"/>
      <c r="B358" s="9" t="n"/>
      <c r="C358" s="9" t="n"/>
      <c r="D358" s="9" t="n"/>
      <c r="E358" s="9" t="n"/>
      <c r="F358" s="9" t="n"/>
      <c r="G358" s="9" t="n"/>
      <c r="H358" s="9" t="n"/>
      <c r="I358" s="9" t="n"/>
      <c r="J358" s="9" t="n"/>
      <c r="K358" s="9" t="n"/>
      <c r="L358" s="9" t="n"/>
      <c r="M358" s="9" t="n"/>
      <c r="N358" s="8">
        <f>IF(COUNT(I358:M358)=5,SUM(I358:M358),"")</f>
        <v/>
      </c>
      <c r="O358" s="9">
        <f>IF(N358="","",IF(N358&gt;=16,"Priority",IF(N358&gt;=12,"Active",IF(N358&gt;=8,"Nurture / research","Park"))))</f>
        <v/>
      </c>
      <c r="P358" s="9" t="n"/>
      <c r="Q358" s="9" t="n"/>
      <c r="R358" s="9" t="n"/>
      <c r="S358" s="9" t="n"/>
      <c r="T358" s="9">
        <f>IF(OR(S358="",P358="Won",P358="Lost",P358="Disqualified"),"",IF(TODAY()&gt;S358,TODAY()-S358,0))</f>
        <v/>
      </c>
      <c r="U358" s="9" t="n"/>
      <c r="V358" s="9" t="n"/>
      <c r="W358" s="9" t="n"/>
      <c r="X358" s="9">
        <f>IF(C358="","",IF(COUNTIF($C$4:$C$403,C358)&gt;1,"DUPLICATE",""))</f>
        <v/>
      </c>
      <c r="Y358" s="9" t="n"/>
    </row>
    <row r="359">
      <c r="A359" s="9" t="n"/>
      <c r="B359" s="9" t="n"/>
      <c r="C359" s="9" t="n"/>
      <c r="D359" s="9" t="n"/>
      <c r="E359" s="9" t="n"/>
      <c r="F359" s="9" t="n"/>
      <c r="G359" s="9" t="n"/>
      <c r="H359" s="9" t="n"/>
      <c r="I359" s="9" t="n"/>
      <c r="J359" s="9" t="n"/>
      <c r="K359" s="9" t="n"/>
      <c r="L359" s="9" t="n"/>
      <c r="M359" s="9" t="n"/>
      <c r="N359" s="8">
        <f>IF(COUNT(I359:M359)=5,SUM(I359:M359),"")</f>
        <v/>
      </c>
      <c r="O359" s="9">
        <f>IF(N359="","",IF(N359&gt;=16,"Priority",IF(N359&gt;=12,"Active",IF(N359&gt;=8,"Nurture / research","Park"))))</f>
        <v/>
      </c>
      <c r="P359" s="9" t="n"/>
      <c r="Q359" s="9" t="n"/>
      <c r="R359" s="9" t="n"/>
      <c r="S359" s="9" t="n"/>
      <c r="T359" s="9">
        <f>IF(OR(S359="",P359="Won",P359="Lost",P359="Disqualified"),"",IF(TODAY()&gt;S359,TODAY()-S359,0))</f>
        <v/>
      </c>
      <c r="U359" s="9" t="n"/>
      <c r="V359" s="9" t="n"/>
      <c r="W359" s="9" t="n"/>
      <c r="X359" s="9">
        <f>IF(C359="","",IF(COUNTIF($C$4:$C$403,C359)&gt;1,"DUPLICATE",""))</f>
        <v/>
      </c>
      <c r="Y359" s="9" t="n"/>
    </row>
    <row r="360">
      <c r="A360" s="9" t="n"/>
      <c r="B360" s="9" t="n"/>
      <c r="C360" s="9" t="n"/>
      <c r="D360" s="9" t="n"/>
      <c r="E360" s="9" t="n"/>
      <c r="F360" s="9" t="n"/>
      <c r="G360" s="9" t="n"/>
      <c r="H360" s="9" t="n"/>
      <c r="I360" s="9" t="n"/>
      <c r="J360" s="9" t="n"/>
      <c r="K360" s="9" t="n"/>
      <c r="L360" s="9" t="n"/>
      <c r="M360" s="9" t="n"/>
      <c r="N360" s="8">
        <f>IF(COUNT(I360:M360)=5,SUM(I360:M360),"")</f>
        <v/>
      </c>
      <c r="O360" s="9">
        <f>IF(N360="","",IF(N360&gt;=16,"Priority",IF(N360&gt;=12,"Active",IF(N360&gt;=8,"Nurture / research","Park"))))</f>
        <v/>
      </c>
      <c r="P360" s="9" t="n"/>
      <c r="Q360" s="9" t="n"/>
      <c r="R360" s="9" t="n"/>
      <c r="S360" s="9" t="n"/>
      <c r="T360" s="9">
        <f>IF(OR(S360="",P360="Won",P360="Lost",P360="Disqualified"),"",IF(TODAY()&gt;S360,TODAY()-S360,0))</f>
        <v/>
      </c>
      <c r="U360" s="9" t="n"/>
      <c r="V360" s="9" t="n"/>
      <c r="W360" s="9" t="n"/>
      <c r="X360" s="9">
        <f>IF(C360="","",IF(COUNTIF($C$4:$C$403,C360)&gt;1,"DUPLICATE",""))</f>
        <v/>
      </c>
      <c r="Y360" s="9" t="n"/>
    </row>
    <row r="361">
      <c r="A361" s="9" t="n"/>
      <c r="B361" s="9" t="n"/>
      <c r="C361" s="9" t="n"/>
      <c r="D361" s="9" t="n"/>
      <c r="E361" s="9" t="n"/>
      <c r="F361" s="9" t="n"/>
      <c r="G361" s="9" t="n"/>
      <c r="H361" s="9" t="n"/>
      <c r="I361" s="9" t="n"/>
      <c r="J361" s="9" t="n"/>
      <c r="K361" s="9" t="n"/>
      <c r="L361" s="9" t="n"/>
      <c r="M361" s="9" t="n"/>
      <c r="N361" s="8">
        <f>IF(COUNT(I361:M361)=5,SUM(I361:M361),"")</f>
        <v/>
      </c>
      <c r="O361" s="9">
        <f>IF(N361="","",IF(N361&gt;=16,"Priority",IF(N361&gt;=12,"Active",IF(N361&gt;=8,"Nurture / research","Park"))))</f>
        <v/>
      </c>
      <c r="P361" s="9" t="n"/>
      <c r="Q361" s="9" t="n"/>
      <c r="R361" s="9" t="n"/>
      <c r="S361" s="9" t="n"/>
      <c r="T361" s="9">
        <f>IF(OR(S361="",P361="Won",P361="Lost",P361="Disqualified"),"",IF(TODAY()&gt;S361,TODAY()-S361,0))</f>
        <v/>
      </c>
      <c r="U361" s="9" t="n"/>
      <c r="V361" s="9" t="n"/>
      <c r="W361" s="9" t="n"/>
      <c r="X361" s="9">
        <f>IF(C361="","",IF(COUNTIF($C$4:$C$403,C361)&gt;1,"DUPLICATE",""))</f>
        <v/>
      </c>
      <c r="Y361" s="9" t="n"/>
    </row>
    <row r="362">
      <c r="A362" s="9" t="n"/>
      <c r="B362" s="9" t="n"/>
      <c r="C362" s="9" t="n"/>
      <c r="D362" s="9" t="n"/>
      <c r="E362" s="9" t="n"/>
      <c r="F362" s="9" t="n"/>
      <c r="G362" s="9" t="n"/>
      <c r="H362" s="9" t="n"/>
      <c r="I362" s="9" t="n"/>
      <c r="J362" s="9" t="n"/>
      <c r="K362" s="9" t="n"/>
      <c r="L362" s="9" t="n"/>
      <c r="M362" s="9" t="n"/>
      <c r="N362" s="8">
        <f>IF(COUNT(I362:M362)=5,SUM(I362:M362),"")</f>
        <v/>
      </c>
      <c r="O362" s="9">
        <f>IF(N362="","",IF(N362&gt;=16,"Priority",IF(N362&gt;=12,"Active",IF(N362&gt;=8,"Nurture / research","Park"))))</f>
        <v/>
      </c>
      <c r="P362" s="9" t="n"/>
      <c r="Q362" s="9" t="n"/>
      <c r="R362" s="9" t="n"/>
      <c r="S362" s="9" t="n"/>
      <c r="T362" s="9">
        <f>IF(OR(S362="",P362="Won",P362="Lost",P362="Disqualified"),"",IF(TODAY()&gt;S362,TODAY()-S362,0))</f>
        <v/>
      </c>
      <c r="U362" s="9" t="n"/>
      <c r="V362" s="9" t="n"/>
      <c r="W362" s="9" t="n"/>
      <c r="X362" s="9">
        <f>IF(C362="","",IF(COUNTIF($C$4:$C$403,C362)&gt;1,"DUPLICATE",""))</f>
        <v/>
      </c>
      <c r="Y362" s="9" t="n"/>
    </row>
    <row r="363">
      <c r="A363" s="9" t="n"/>
      <c r="B363" s="9" t="n"/>
      <c r="C363" s="9" t="n"/>
      <c r="D363" s="9" t="n"/>
      <c r="E363" s="9" t="n"/>
      <c r="F363" s="9" t="n"/>
      <c r="G363" s="9" t="n"/>
      <c r="H363" s="9" t="n"/>
      <c r="I363" s="9" t="n"/>
      <c r="J363" s="9" t="n"/>
      <c r="K363" s="9" t="n"/>
      <c r="L363" s="9" t="n"/>
      <c r="M363" s="9" t="n"/>
      <c r="N363" s="8">
        <f>IF(COUNT(I363:M363)=5,SUM(I363:M363),"")</f>
        <v/>
      </c>
      <c r="O363" s="9">
        <f>IF(N363="","",IF(N363&gt;=16,"Priority",IF(N363&gt;=12,"Active",IF(N363&gt;=8,"Nurture / research","Park"))))</f>
        <v/>
      </c>
      <c r="P363" s="9" t="n"/>
      <c r="Q363" s="9" t="n"/>
      <c r="R363" s="9" t="n"/>
      <c r="S363" s="9" t="n"/>
      <c r="T363" s="9">
        <f>IF(OR(S363="",P363="Won",P363="Lost",P363="Disqualified"),"",IF(TODAY()&gt;S363,TODAY()-S363,0))</f>
        <v/>
      </c>
      <c r="U363" s="9" t="n"/>
      <c r="V363" s="9" t="n"/>
      <c r="W363" s="9" t="n"/>
      <c r="X363" s="9">
        <f>IF(C363="","",IF(COUNTIF($C$4:$C$403,C363)&gt;1,"DUPLICATE",""))</f>
        <v/>
      </c>
      <c r="Y363" s="9" t="n"/>
    </row>
    <row r="364">
      <c r="A364" s="9" t="n"/>
      <c r="B364" s="9" t="n"/>
      <c r="C364" s="9" t="n"/>
      <c r="D364" s="9" t="n"/>
      <c r="E364" s="9" t="n"/>
      <c r="F364" s="9" t="n"/>
      <c r="G364" s="9" t="n"/>
      <c r="H364" s="9" t="n"/>
      <c r="I364" s="9" t="n"/>
      <c r="J364" s="9" t="n"/>
      <c r="K364" s="9" t="n"/>
      <c r="L364" s="9" t="n"/>
      <c r="M364" s="9" t="n"/>
      <c r="N364" s="8">
        <f>IF(COUNT(I364:M364)=5,SUM(I364:M364),"")</f>
        <v/>
      </c>
      <c r="O364" s="9">
        <f>IF(N364="","",IF(N364&gt;=16,"Priority",IF(N364&gt;=12,"Active",IF(N364&gt;=8,"Nurture / research","Park"))))</f>
        <v/>
      </c>
      <c r="P364" s="9" t="n"/>
      <c r="Q364" s="9" t="n"/>
      <c r="R364" s="9" t="n"/>
      <c r="S364" s="9" t="n"/>
      <c r="T364" s="9">
        <f>IF(OR(S364="",P364="Won",P364="Lost",P364="Disqualified"),"",IF(TODAY()&gt;S364,TODAY()-S364,0))</f>
        <v/>
      </c>
      <c r="U364" s="9" t="n"/>
      <c r="V364" s="9" t="n"/>
      <c r="W364" s="9" t="n"/>
      <c r="X364" s="9">
        <f>IF(C364="","",IF(COUNTIF($C$4:$C$403,C364)&gt;1,"DUPLICATE",""))</f>
        <v/>
      </c>
      <c r="Y364" s="9" t="n"/>
    </row>
    <row r="365">
      <c r="A365" s="9" t="n"/>
      <c r="B365" s="9" t="n"/>
      <c r="C365" s="9" t="n"/>
      <c r="D365" s="9" t="n"/>
      <c r="E365" s="9" t="n"/>
      <c r="F365" s="9" t="n"/>
      <c r="G365" s="9" t="n"/>
      <c r="H365" s="9" t="n"/>
      <c r="I365" s="9" t="n"/>
      <c r="J365" s="9" t="n"/>
      <c r="K365" s="9" t="n"/>
      <c r="L365" s="9" t="n"/>
      <c r="M365" s="9" t="n"/>
      <c r="N365" s="8">
        <f>IF(COUNT(I365:M365)=5,SUM(I365:M365),"")</f>
        <v/>
      </c>
      <c r="O365" s="9">
        <f>IF(N365="","",IF(N365&gt;=16,"Priority",IF(N365&gt;=12,"Active",IF(N365&gt;=8,"Nurture / research","Park"))))</f>
        <v/>
      </c>
      <c r="P365" s="9" t="n"/>
      <c r="Q365" s="9" t="n"/>
      <c r="R365" s="9" t="n"/>
      <c r="S365" s="9" t="n"/>
      <c r="T365" s="9">
        <f>IF(OR(S365="",P365="Won",P365="Lost",P365="Disqualified"),"",IF(TODAY()&gt;S365,TODAY()-S365,0))</f>
        <v/>
      </c>
      <c r="U365" s="9" t="n"/>
      <c r="V365" s="9" t="n"/>
      <c r="W365" s="9" t="n"/>
      <c r="X365" s="9">
        <f>IF(C365="","",IF(COUNTIF($C$4:$C$403,C365)&gt;1,"DUPLICATE",""))</f>
        <v/>
      </c>
      <c r="Y365" s="9" t="n"/>
    </row>
    <row r="366">
      <c r="A366" s="9" t="n"/>
      <c r="B366" s="9" t="n"/>
      <c r="C366" s="9" t="n"/>
      <c r="D366" s="9" t="n"/>
      <c r="E366" s="9" t="n"/>
      <c r="F366" s="9" t="n"/>
      <c r="G366" s="9" t="n"/>
      <c r="H366" s="9" t="n"/>
      <c r="I366" s="9" t="n"/>
      <c r="J366" s="9" t="n"/>
      <c r="K366" s="9" t="n"/>
      <c r="L366" s="9" t="n"/>
      <c r="M366" s="9" t="n"/>
      <c r="N366" s="8">
        <f>IF(COUNT(I366:M366)=5,SUM(I366:M366),"")</f>
        <v/>
      </c>
      <c r="O366" s="9">
        <f>IF(N366="","",IF(N366&gt;=16,"Priority",IF(N366&gt;=12,"Active",IF(N366&gt;=8,"Nurture / research","Park"))))</f>
        <v/>
      </c>
      <c r="P366" s="9" t="n"/>
      <c r="Q366" s="9" t="n"/>
      <c r="R366" s="9" t="n"/>
      <c r="S366" s="9" t="n"/>
      <c r="T366" s="9">
        <f>IF(OR(S366="",P366="Won",P366="Lost",P366="Disqualified"),"",IF(TODAY()&gt;S366,TODAY()-S366,0))</f>
        <v/>
      </c>
      <c r="U366" s="9" t="n"/>
      <c r="V366" s="9" t="n"/>
      <c r="W366" s="9" t="n"/>
      <c r="X366" s="9">
        <f>IF(C366="","",IF(COUNTIF($C$4:$C$403,C366)&gt;1,"DUPLICATE",""))</f>
        <v/>
      </c>
      <c r="Y366" s="9" t="n"/>
    </row>
    <row r="367">
      <c r="A367" s="9" t="n"/>
      <c r="B367" s="9" t="n"/>
      <c r="C367" s="9" t="n"/>
      <c r="D367" s="9" t="n"/>
      <c r="E367" s="9" t="n"/>
      <c r="F367" s="9" t="n"/>
      <c r="G367" s="9" t="n"/>
      <c r="H367" s="9" t="n"/>
      <c r="I367" s="9" t="n"/>
      <c r="J367" s="9" t="n"/>
      <c r="K367" s="9" t="n"/>
      <c r="L367" s="9" t="n"/>
      <c r="M367" s="9" t="n"/>
      <c r="N367" s="8">
        <f>IF(COUNT(I367:M367)=5,SUM(I367:M367),"")</f>
        <v/>
      </c>
      <c r="O367" s="9">
        <f>IF(N367="","",IF(N367&gt;=16,"Priority",IF(N367&gt;=12,"Active",IF(N367&gt;=8,"Nurture / research","Park"))))</f>
        <v/>
      </c>
      <c r="P367" s="9" t="n"/>
      <c r="Q367" s="9" t="n"/>
      <c r="R367" s="9" t="n"/>
      <c r="S367" s="9" t="n"/>
      <c r="T367" s="9">
        <f>IF(OR(S367="",P367="Won",P367="Lost",P367="Disqualified"),"",IF(TODAY()&gt;S367,TODAY()-S367,0))</f>
        <v/>
      </c>
      <c r="U367" s="9" t="n"/>
      <c r="V367" s="9" t="n"/>
      <c r="W367" s="9" t="n"/>
      <c r="X367" s="9">
        <f>IF(C367="","",IF(COUNTIF($C$4:$C$403,C367)&gt;1,"DUPLICATE",""))</f>
        <v/>
      </c>
      <c r="Y367" s="9" t="n"/>
    </row>
    <row r="368">
      <c r="A368" s="9" t="n"/>
      <c r="B368" s="9" t="n"/>
      <c r="C368" s="9" t="n"/>
      <c r="D368" s="9" t="n"/>
      <c r="E368" s="9" t="n"/>
      <c r="F368" s="9" t="n"/>
      <c r="G368" s="9" t="n"/>
      <c r="H368" s="9" t="n"/>
      <c r="I368" s="9" t="n"/>
      <c r="J368" s="9" t="n"/>
      <c r="K368" s="9" t="n"/>
      <c r="L368" s="9" t="n"/>
      <c r="M368" s="9" t="n"/>
      <c r="N368" s="8">
        <f>IF(COUNT(I368:M368)=5,SUM(I368:M368),"")</f>
        <v/>
      </c>
      <c r="O368" s="9">
        <f>IF(N368="","",IF(N368&gt;=16,"Priority",IF(N368&gt;=12,"Active",IF(N368&gt;=8,"Nurture / research","Park"))))</f>
        <v/>
      </c>
      <c r="P368" s="9" t="n"/>
      <c r="Q368" s="9" t="n"/>
      <c r="R368" s="9" t="n"/>
      <c r="S368" s="9" t="n"/>
      <c r="T368" s="9">
        <f>IF(OR(S368="",P368="Won",P368="Lost",P368="Disqualified"),"",IF(TODAY()&gt;S368,TODAY()-S368,0))</f>
        <v/>
      </c>
      <c r="U368" s="9" t="n"/>
      <c r="V368" s="9" t="n"/>
      <c r="W368" s="9" t="n"/>
      <c r="X368" s="9">
        <f>IF(C368="","",IF(COUNTIF($C$4:$C$403,C368)&gt;1,"DUPLICATE",""))</f>
        <v/>
      </c>
      <c r="Y368" s="9" t="n"/>
    </row>
    <row r="369">
      <c r="A369" s="9" t="n"/>
      <c r="B369" s="9" t="n"/>
      <c r="C369" s="9" t="n"/>
      <c r="D369" s="9" t="n"/>
      <c r="E369" s="9" t="n"/>
      <c r="F369" s="9" t="n"/>
      <c r="G369" s="9" t="n"/>
      <c r="H369" s="9" t="n"/>
      <c r="I369" s="9" t="n"/>
      <c r="J369" s="9" t="n"/>
      <c r="K369" s="9" t="n"/>
      <c r="L369" s="9" t="n"/>
      <c r="M369" s="9" t="n"/>
      <c r="N369" s="8">
        <f>IF(COUNT(I369:M369)=5,SUM(I369:M369),"")</f>
        <v/>
      </c>
      <c r="O369" s="9">
        <f>IF(N369="","",IF(N369&gt;=16,"Priority",IF(N369&gt;=12,"Active",IF(N369&gt;=8,"Nurture / research","Park"))))</f>
        <v/>
      </c>
      <c r="P369" s="9" t="n"/>
      <c r="Q369" s="9" t="n"/>
      <c r="R369" s="9" t="n"/>
      <c r="S369" s="9" t="n"/>
      <c r="T369" s="9">
        <f>IF(OR(S369="",P369="Won",P369="Lost",P369="Disqualified"),"",IF(TODAY()&gt;S369,TODAY()-S369,0))</f>
        <v/>
      </c>
      <c r="U369" s="9" t="n"/>
      <c r="V369" s="9" t="n"/>
      <c r="W369" s="9" t="n"/>
      <c r="X369" s="9">
        <f>IF(C369="","",IF(COUNTIF($C$4:$C$403,C369)&gt;1,"DUPLICATE",""))</f>
        <v/>
      </c>
      <c r="Y369" s="9" t="n"/>
    </row>
    <row r="370">
      <c r="A370" s="9" t="n"/>
      <c r="B370" s="9" t="n"/>
      <c r="C370" s="9" t="n"/>
      <c r="D370" s="9" t="n"/>
      <c r="E370" s="9" t="n"/>
      <c r="F370" s="9" t="n"/>
      <c r="G370" s="9" t="n"/>
      <c r="H370" s="9" t="n"/>
      <c r="I370" s="9" t="n"/>
      <c r="J370" s="9" t="n"/>
      <c r="K370" s="9" t="n"/>
      <c r="L370" s="9" t="n"/>
      <c r="M370" s="9" t="n"/>
      <c r="N370" s="8">
        <f>IF(COUNT(I370:M370)=5,SUM(I370:M370),"")</f>
        <v/>
      </c>
      <c r="O370" s="9">
        <f>IF(N370="","",IF(N370&gt;=16,"Priority",IF(N370&gt;=12,"Active",IF(N370&gt;=8,"Nurture / research","Park"))))</f>
        <v/>
      </c>
      <c r="P370" s="9" t="n"/>
      <c r="Q370" s="9" t="n"/>
      <c r="R370" s="9" t="n"/>
      <c r="S370" s="9" t="n"/>
      <c r="T370" s="9">
        <f>IF(OR(S370="",P370="Won",P370="Lost",P370="Disqualified"),"",IF(TODAY()&gt;S370,TODAY()-S370,0))</f>
        <v/>
      </c>
      <c r="U370" s="9" t="n"/>
      <c r="V370" s="9" t="n"/>
      <c r="W370" s="9" t="n"/>
      <c r="X370" s="9">
        <f>IF(C370="","",IF(COUNTIF($C$4:$C$403,C370)&gt;1,"DUPLICATE",""))</f>
        <v/>
      </c>
      <c r="Y370" s="9" t="n"/>
    </row>
    <row r="371">
      <c r="A371" s="9" t="n"/>
      <c r="B371" s="9" t="n"/>
      <c r="C371" s="9" t="n"/>
      <c r="D371" s="9" t="n"/>
      <c r="E371" s="9" t="n"/>
      <c r="F371" s="9" t="n"/>
      <c r="G371" s="9" t="n"/>
      <c r="H371" s="9" t="n"/>
      <c r="I371" s="9" t="n"/>
      <c r="J371" s="9" t="n"/>
      <c r="K371" s="9" t="n"/>
      <c r="L371" s="9" t="n"/>
      <c r="M371" s="9" t="n"/>
      <c r="N371" s="8">
        <f>IF(COUNT(I371:M371)=5,SUM(I371:M371),"")</f>
        <v/>
      </c>
      <c r="O371" s="9">
        <f>IF(N371="","",IF(N371&gt;=16,"Priority",IF(N371&gt;=12,"Active",IF(N371&gt;=8,"Nurture / research","Park"))))</f>
        <v/>
      </c>
      <c r="P371" s="9" t="n"/>
      <c r="Q371" s="9" t="n"/>
      <c r="R371" s="9" t="n"/>
      <c r="S371" s="9" t="n"/>
      <c r="T371" s="9">
        <f>IF(OR(S371="",P371="Won",P371="Lost",P371="Disqualified"),"",IF(TODAY()&gt;S371,TODAY()-S371,0))</f>
        <v/>
      </c>
      <c r="U371" s="9" t="n"/>
      <c r="V371" s="9" t="n"/>
      <c r="W371" s="9" t="n"/>
      <c r="X371" s="9">
        <f>IF(C371="","",IF(COUNTIF($C$4:$C$403,C371)&gt;1,"DUPLICATE",""))</f>
        <v/>
      </c>
      <c r="Y371" s="9" t="n"/>
    </row>
    <row r="372">
      <c r="A372" s="9" t="n"/>
      <c r="B372" s="9" t="n"/>
      <c r="C372" s="9" t="n"/>
      <c r="D372" s="9" t="n"/>
      <c r="E372" s="9" t="n"/>
      <c r="F372" s="9" t="n"/>
      <c r="G372" s="9" t="n"/>
      <c r="H372" s="9" t="n"/>
      <c r="I372" s="9" t="n"/>
      <c r="J372" s="9" t="n"/>
      <c r="K372" s="9" t="n"/>
      <c r="L372" s="9" t="n"/>
      <c r="M372" s="9" t="n"/>
      <c r="N372" s="8">
        <f>IF(COUNT(I372:M372)=5,SUM(I372:M372),"")</f>
        <v/>
      </c>
      <c r="O372" s="9">
        <f>IF(N372="","",IF(N372&gt;=16,"Priority",IF(N372&gt;=12,"Active",IF(N372&gt;=8,"Nurture / research","Park"))))</f>
        <v/>
      </c>
      <c r="P372" s="9" t="n"/>
      <c r="Q372" s="9" t="n"/>
      <c r="R372" s="9" t="n"/>
      <c r="S372" s="9" t="n"/>
      <c r="T372" s="9">
        <f>IF(OR(S372="",P372="Won",P372="Lost",P372="Disqualified"),"",IF(TODAY()&gt;S372,TODAY()-S372,0))</f>
        <v/>
      </c>
      <c r="U372" s="9" t="n"/>
      <c r="V372" s="9" t="n"/>
      <c r="W372" s="9" t="n"/>
      <c r="X372" s="9">
        <f>IF(C372="","",IF(COUNTIF($C$4:$C$403,C372)&gt;1,"DUPLICATE",""))</f>
        <v/>
      </c>
      <c r="Y372" s="9" t="n"/>
    </row>
    <row r="373">
      <c r="A373" s="9" t="n"/>
      <c r="B373" s="9" t="n"/>
      <c r="C373" s="9" t="n"/>
      <c r="D373" s="9" t="n"/>
      <c r="E373" s="9" t="n"/>
      <c r="F373" s="9" t="n"/>
      <c r="G373" s="9" t="n"/>
      <c r="H373" s="9" t="n"/>
      <c r="I373" s="9" t="n"/>
      <c r="J373" s="9" t="n"/>
      <c r="K373" s="9" t="n"/>
      <c r="L373" s="9" t="n"/>
      <c r="M373" s="9" t="n"/>
      <c r="N373" s="8">
        <f>IF(COUNT(I373:M373)=5,SUM(I373:M373),"")</f>
        <v/>
      </c>
      <c r="O373" s="9">
        <f>IF(N373="","",IF(N373&gt;=16,"Priority",IF(N373&gt;=12,"Active",IF(N373&gt;=8,"Nurture / research","Park"))))</f>
        <v/>
      </c>
      <c r="P373" s="9" t="n"/>
      <c r="Q373" s="9" t="n"/>
      <c r="R373" s="9" t="n"/>
      <c r="S373" s="9" t="n"/>
      <c r="T373" s="9">
        <f>IF(OR(S373="",P373="Won",P373="Lost",P373="Disqualified"),"",IF(TODAY()&gt;S373,TODAY()-S373,0))</f>
        <v/>
      </c>
      <c r="U373" s="9" t="n"/>
      <c r="V373" s="9" t="n"/>
      <c r="W373" s="9" t="n"/>
      <c r="X373" s="9">
        <f>IF(C373="","",IF(COUNTIF($C$4:$C$403,C373)&gt;1,"DUPLICATE",""))</f>
        <v/>
      </c>
      <c r="Y373" s="9" t="n"/>
    </row>
    <row r="374">
      <c r="A374" s="9" t="n"/>
      <c r="B374" s="9" t="n"/>
      <c r="C374" s="9" t="n"/>
      <c r="D374" s="9" t="n"/>
      <c r="E374" s="9" t="n"/>
      <c r="F374" s="9" t="n"/>
      <c r="G374" s="9" t="n"/>
      <c r="H374" s="9" t="n"/>
      <c r="I374" s="9" t="n"/>
      <c r="J374" s="9" t="n"/>
      <c r="K374" s="9" t="n"/>
      <c r="L374" s="9" t="n"/>
      <c r="M374" s="9" t="n"/>
      <c r="N374" s="8">
        <f>IF(COUNT(I374:M374)=5,SUM(I374:M374),"")</f>
        <v/>
      </c>
      <c r="O374" s="9">
        <f>IF(N374="","",IF(N374&gt;=16,"Priority",IF(N374&gt;=12,"Active",IF(N374&gt;=8,"Nurture / research","Park"))))</f>
        <v/>
      </c>
      <c r="P374" s="9" t="n"/>
      <c r="Q374" s="9" t="n"/>
      <c r="R374" s="9" t="n"/>
      <c r="S374" s="9" t="n"/>
      <c r="T374" s="9">
        <f>IF(OR(S374="",P374="Won",P374="Lost",P374="Disqualified"),"",IF(TODAY()&gt;S374,TODAY()-S374,0))</f>
        <v/>
      </c>
      <c r="U374" s="9" t="n"/>
      <c r="V374" s="9" t="n"/>
      <c r="W374" s="9" t="n"/>
      <c r="X374" s="9">
        <f>IF(C374="","",IF(COUNTIF($C$4:$C$403,C374)&gt;1,"DUPLICATE",""))</f>
        <v/>
      </c>
      <c r="Y374" s="9" t="n"/>
    </row>
    <row r="375">
      <c r="A375" s="9" t="n"/>
      <c r="B375" s="9" t="n"/>
      <c r="C375" s="9" t="n"/>
      <c r="D375" s="9" t="n"/>
      <c r="E375" s="9" t="n"/>
      <c r="F375" s="9" t="n"/>
      <c r="G375" s="9" t="n"/>
      <c r="H375" s="9" t="n"/>
      <c r="I375" s="9" t="n"/>
      <c r="J375" s="9" t="n"/>
      <c r="K375" s="9" t="n"/>
      <c r="L375" s="9" t="n"/>
      <c r="M375" s="9" t="n"/>
      <c r="N375" s="8">
        <f>IF(COUNT(I375:M375)=5,SUM(I375:M375),"")</f>
        <v/>
      </c>
      <c r="O375" s="9">
        <f>IF(N375="","",IF(N375&gt;=16,"Priority",IF(N375&gt;=12,"Active",IF(N375&gt;=8,"Nurture / research","Park"))))</f>
        <v/>
      </c>
      <c r="P375" s="9" t="n"/>
      <c r="Q375" s="9" t="n"/>
      <c r="R375" s="9" t="n"/>
      <c r="S375" s="9" t="n"/>
      <c r="T375" s="9">
        <f>IF(OR(S375="",P375="Won",P375="Lost",P375="Disqualified"),"",IF(TODAY()&gt;S375,TODAY()-S375,0))</f>
        <v/>
      </c>
      <c r="U375" s="9" t="n"/>
      <c r="V375" s="9" t="n"/>
      <c r="W375" s="9" t="n"/>
      <c r="X375" s="9">
        <f>IF(C375="","",IF(COUNTIF($C$4:$C$403,C375)&gt;1,"DUPLICATE",""))</f>
        <v/>
      </c>
      <c r="Y375" s="9" t="n"/>
    </row>
    <row r="376">
      <c r="A376" s="9" t="n"/>
      <c r="B376" s="9" t="n"/>
      <c r="C376" s="9" t="n"/>
      <c r="D376" s="9" t="n"/>
      <c r="E376" s="9" t="n"/>
      <c r="F376" s="9" t="n"/>
      <c r="G376" s="9" t="n"/>
      <c r="H376" s="9" t="n"/>
      <c r="I376" s="9" t="n"/>
      <c r="J376" s="9" t="n"/>
      <c r="K376" s="9" t="n"/>
      <c r="L376" s="9" t="n"/>
      <c r="M376" s="9" t="n"/>
      <c r="N376" s="8">
        <f>IF(COUNT(I376:M376)=5,SUM(I376:M376),"")</f>
        <v/>
      </c>
      <c r="O376" s="9">
        <f>IF(N376="","",IF(N376&gt;=16,"Priority",IF(N376&gt;=12,"Active",IF(N376&gt;=8,"Nurture / research","Park"))))</f>
        <v/>
      </c>
      <c r="P376" s="9" t="n"/>
      <c r="Q376" s="9" t="n"/>
      <c r="R376" s="9" t="n"/>
      <c r="S376" s="9" t="n"/>
      <c r="T376" s="9">
        <f>IF(OR(S376="",P376="Won",P376="Lost",P376="Disqualified"),"",IF(TODAY()&gt;S376,TODAY()-S376,0))</f>
        <v/>
      </c>
      <c r="U376" s="9" t="n"/>
      <c r="V376" s="9" t="n"/>
      <c r="W376" s="9" t="n"/>
      <c r="X376" s="9">
        <f>IF(C376="","",IF(COUNTIF($C$4:$C$403,C376)&gt;1,"DUPLICATE",""))</f>
        <v/>
      </c>
      <c r="Y376" s="9" t="n"/>
    </row>
    <row r="377">
      <c r="A377" s="9" t="n"/>
      <c r="B377" s="9" t="n"/>
      <c r="C377" s="9" t="n"/>
      <c r="D377" s="9" t="n"/>
      <c r="E377" s="9" t="n"/>
      <c r="F377" s="9" t="n"/>
      <c r="G377" s="9" t="n"/>
      <c r="H377" s="9" t="n"/>
      <c r="I377" s="9" t="n"/>
      <c r="J377" s="9" t="n"/>
      <c r="K377" s="9" t="n"/>
      <c r="L377" s="9" t="n"/>
      <c r="M377" s="9" t="n"/>
      <c r="N377" s="8">
        <f>IF(COUNT(I377:M377)=5,SUM(I377:M377),"")</f>
        <v/>
      </c>
      <c r="O377" s="9">
        <f>IF(N377="","",IF(N377&gt;=16,"Priority",IF(N377&gt;=12,"Active",IF(N377&gt;=8,"Nurture / research","Park"))))</f>
        <v/>
      </c>
      <c r="P377" s="9" t="n"/>
      <c r="Q377" s="9" t="n"/>
      <c r="R377" s="9" t="n"/>
      <c r="S377" s="9" t="n"/>
      <c r="T377" s="9">
        <f>IF(OR(S377="",P377="Won",P377="Lost",P377="Disqualified"),"",IF(TODAY()&gt;S377,TODAY()-S377,0))</f>
        <v/>
      </c>
      <c r="U377" s="9" t="n"/>
      <c r="V377" s="9" t="n"/>
      <c r="W377" s="9" t="n"/>
      <c r="X377" s="9">
        <f>IF(C377="","",IF(COUNTIF($C$4:$C$403,C377)&gt;1,"DUPLICATE",""))</f>
        <v/>
      </c>
      <c r="Y377" s="9" t="n"/>
    </row>
    <row r="378">
      <c r="A378" s="9" t="n"/>
      <c r="B378" s="9" t="n"/>
      <c r="C378" s="9" t="n"/>
      <c r="D378" s="9" t="n"/>
      <c r="E378" s="9" t="n"/>
      <c r="F378" s="9" t="n"/>
      <c r="G378" s="9" t="n"/>
      <c r="H378" s="9" t="n"/>
      <c r="I378" s="9" t="n"/>
      <c r="J378" s="9" t="n"/>
      <c r="K378" s="9" t="n"/>
      <c r="L378" s="9" t="n"/>
      <c r="M378" s="9" t="n"/>
      <c r="N378" s="8">
        <f>IF(COUNT(I378:M378)=5,SUM(I378:M378),"")</f>
        <v/>
      </c>
      <c r="O378" s="9">
        <f>IF(N378="","",IF(N378&gt;=16,"Priority",IF(N378&gt;=12,"Active",IF(N378&gt;=8,"Nurture / research","Park"))))</f>
        <v/>
      </c>
      <c r="P378" s="9" t="n"/>
      <c r="Q378" s="9" t="n"/>
      <c r="R378" s="9" t="n"/>
      <c r="S378" s="9" t="n"/>
      <c r="T378" s="9">
        <f>IF(OR(S378="",P378="Won",P378="Lost",P378="Disqualified"),"",IF(TODAY()&gt;S378,TODAY()-S378,0))</f>
        <v/>
      </c>
      <c r="U378" s="9" t="n"/>
      <c r="V378" s="9" t="n"/>
      <c r="W378" s="9" t="n"/>
      <c r="X378" s="9">
        <f>IF(C378="","",IF(COUNTIF($C$4:$C$403,C378)&gt;1,"DUPLICATE",""))</f>
        <v/>
      </c>
      <c r="Y378" s="9" t="n"/>
    </row>
    <row r="379">
      <c r="A379" s="9" t="n"/>
      <c r="B379" s="9" t="n"/>
      <c r="C379" s="9" t="n"/>
      <c r="D379" s="9" t="n"/>
      <c r="E379" s="9" t="n"/>
      <c r="F379" s="9" t="n"/>
      <c r="G379" s="9" t="n"/>
      <c r="H379" s="9" t="n"/>
      <c r="I379" s="9" t="n"/>
      <c r="J379" s="9" t="n"/>
      <c r="K379" s="9" t="n"/>
      <c r="L379" s="9" t="n"/>
      <c r="M379" s="9" t="n"/>
      <c r="N379" s="8">
        <f>IF(COUNT(I379:M379)=5,SUM(I379:M379),"")</f>
        <v/>
      </c>
      <c r="O379" s="9">
        <f>IF(N379="","",IF(N379&gt;=16,"Priority",IF(N379&gt;=12,"Active",IF(N379&gt;=8,"Nurture / research","Park"))))</f>
        <v/>
      </c>
      <c r="P379" s="9" t="n"/>
      <c r="Q379" s="9" t="n"/>
      <c r="R379" s="9" t="n"/>
      <c r="S379" s="9" t="n"/>
      <c r="T379" s="9">
        <f>IF(OR(S379="",P379="Won",P379="Lost",P379="Disqualified"),"",IF(TODAY()&gt;S379,TODAY()-S379,0))</f>
        <v/>
      </c>
      <c r="U379" s="9" t="n"/>
      <c r="V379" s="9" t="n"/>
      <c r="W379" s="9" t="n"/>
      <c r="X379" s="9">
        <f>IF(C379="","",IF(COUNTIF($C$4:$C$403,C379)&gt;1,"DUPLICATE",""))</f>
        <v/>
      </c>
      <c r="Y379" s="9" t="n"/>
    </row>
    <row r="380">
      <c r="A380" s="9" t="n"/>
      <c r="B380" s="9" t="n"/>
      <c r="C380" s="9" t="n"/>
      <c r="D380" s="9" t="n"/>
      <c r="E380" s="9" t="n"/>
      <c r="F380" s="9" t="n"/>
      <c r="G380" s="9" t="n"/>
      <c r="H380" s="9" t="n"/>
      <c r="I380" s="9" t="n"/>
      <c r="J380" s="9" t="n"/>
      <c r="K380" s="9" t="n"/>
      <c r="L380" s="9" t="n"/>
      <c r="M380" s="9" t="n"/>
      <c r="N380" s="8">
        <f>IF(COUNT(I380:M380)=5,SUM(I380:M380),"")</f>
        <v/>
      </c>
      <c r="O380" s="9">
        <f>IF(N380="","",IF(N380&gt;=16,"Priority",IF(N380&gt;=12,"Active",IF(N380&gt;=8,"Nurture / research","Park"))))</f>
        <v/>
      </c>
      <c r="P380" s="9" t="n"/>
      <c r="Q380" s="9" t="n"/>
      <c r="R380" s="9" t="n"/>
      <c r="S380" s="9" t="n"/>
      <c r="T380" s="9">
        <f>IF(OR(S380="",P380="Won",P380="Lost",P380="Disqualified"),"",IF(TODAY()&gt;S380,TODAY()-S380,0))</f>
        <v/>
      </c>
      <c r="U380" s="9" t="n"/>
      <c r="V380" s="9" t="n"/>
      <c r="W380" s="9" t="n"/>
      <c r="X380" s="9">
        <f>IF(C380="","",IF(COUNTIF($C$4:$C$403,C380)&gt;1,"DUPLICATE",""))</f>
        <v/>
      </c>
      <c r="Y380" s="9" t="n"/>
    </row>
    <row r="381">
      <c r="A381" s="9" t="n"/>
      <c r="B381" s="9" t="n"/>
      <c r="C381" s="9" t="n"/>
      <c r="D381" s="9" t="n"/>
      <c r="E381" s="9" t="n"/>
      <c r="F381" s="9" t="n"/>
      <c r="G381" s="9" t="n"/>
      <c r="H381" s="9" t="n"/>
      <c r="I381" s="9" t="n"/>
      <c r="J381" s="9" t="n"/>
      <c r="K381" s="9" t="n"/>
      <c r="L381" s="9" t="n"/>
      <c r="M381" s="9" t="n"/>
      <c r="N381" s="8">
        <f>IF(COUNT(I381:M381)=5,SUM(I381:M381),"")</f>
        <v/>
      </c>
      <c r="O381" s="9">
        <f>IF(N381="","",IF(N381&gt;=16,"Priority",IF(N381&gt;=12,"Active",IF(N381&gt;=8,"Nurture / research","Park"))))</f>
        <v/>
      </c>
      <c r="P381" s="9" t="n"/>
      <c r="Q381" s="9" t="n"/>
      <c r="R381" s="9" t="n"/>
      <c r="S381" s="9" t="n"/>
      <c r="T381" s="9">
        <f>IF(OR(S381="",P381="Won",P381="Lost",P381="Disqualified"),"",IF(TODAY()&gt;S381,TODAY()-S381,0))</f>
        <v/>
      </c>
      <c r="U381" s="9" t="n"/>
      <c r="V381" s="9" t="n"/>
      <c r="W381" s="9" t="n"/>
      <c r="X381" s="9">
        <f>IF(C381="","",IF(COUNTIF($C$4:$C$403,C381)&gt;1,"DUPLICATE",""))</f>
        <v/>
      </c>
      <c r="Y381" s="9" t="n"/>
    </row>
    <row r="382">
      <c r="A382" s="9" t="n"/>
      <c r="B382" s="9" t="n"/>
      <c r="C382" s="9" t="n"/>
      <c r="D382" s="9" t="n"/>
      <c r="E382" s="9" t="n"/>
      <c r="F382" s="9" t="n"/>
      <c r="G382" s="9" t="n"/>
      <c r="H382" s="9" t="n"/>
      <c r="I382" s="9" t="n"/>
      <c r="J382" s="9" t="n"/>
      <c r="K382" s="9" t="n"/>
      <c r="L382" s="9" t="n"/>
      <c r="M382" s="9" t="n"/>
      <c r="N382" s="8">
        <f>IF(COUNT(I382:M382)=5,SUM(I382:M382),"")</f>
        <v/>
      </c>
      <c r="O382" s="9">
        <f>IF(N382="","",IF(N382&gt;=16,"Priority",IF(N382&gt;=12,"Active",IF(N382&gt;=8,"Nurture / research","Park"))))</f>
        <v/>
      </c>
      <c r="P382" s="9" t="n"/>
      <c r="Q382" s="9" t="n"/>
      <c r="R382" s="9" t="n"/>
      <c r="S382" s="9" t="n"/>
      <c r="T382" s="9">
        <f>IF(OR(S382="",P382="Won",P382="Lost",P382="Disqualified"),"",IF(TODAY()&gt;S382,TODAY()-S382,0))</f>
        <v/>
      </c>
      <c r="U382" s="9" t="n"/>
      <c r="V382" s="9" t="n"/>
      <c r="W382" s="9" t="n"/>
      <c r="X382" s="9">
        <f>IF(C382="","",IF(COUNTIF($C$4:$C$403,C382)&gt;1,"DUPLICATE",""))</f>
        <v/>
      </c>
      <c r="Y382" s="9" t="n"/>
    </row>
    <row r="383">
      <c r="A383" s="9" t="n"/>
      <c r="B383" s="9" t="n"/>
      <c r="C383" s="9" t="n"/>
      <c r="D383" s="9" t="n"/>
      <c r="E383" s="9" t="n"/>
      <c r="F383" s="9" t="n"/>
      <c r="G383" s="9" t="n"/>
      <c r="H383" s="9" t="n"/>
      <c r="I383" s="9" t="n"/>
      <c r="J383" s="9" t="n"/>
      <c r="K383" s="9" t="n"/>
      <c r="L383" s="9" t="n"/>
      <c r="M383" s="9" t="n"/>
      <c r="N383" s="8">
        <f>IF(COUNT(I383:M383)=5,SUM(I383:M383),"")</f>
        <v/>
      </c>
      <c r="O383" s="9">
        <f>IF(N383="","",IF(N383&gt;=16,"Priority",IF(N383&gt;=12,"Active",IF(N383&gt;=8,"Nurture / research","Park"))))</f>
        <v/>
      </c>
      <c r="P383" s="9" t="n"/>
      <c r="Q383" s="9" t="n"/>
      <c r="R383" s="9" t="n"/>
      <c r="S383" s="9" t="n"/>
      <c r="T383" s="9">
        <f>IF(OR(S383="",P383="Won",P383="Lost",P383="Disqualified"),"",IF(TODAY()&gt;S383,TODAY()-S383,0))</f>
        <v/>
      </c>
      <c r="U383" s="9" t="n"/>
      <c r="V383" s="9" t="n"/>
      <c r="W383" s="9" t="n"/>
      <c r="X383" s="9">
        <f>IF(C383="","",IF(COUNTIF($C$4:$C$403,C383)&gt;1,"DUPLICATE",""))</f>
        <v/>
      </c>
      <c r="Y383" s="9" t="n"/>
    </row>
    <row r="384">
      <c r="A384" s="9" t="n"/>
      <c r="B384" s="9" t="n"/>
      <c r="C384" s="9" t="n"/>
      <c r="D384" s="9" t="n"/>
      <c r="E384" s="9" t="n"/>
      <c r="F384" s="9" t="n"/>
      <c r="G384" s="9" t="n"/>
      <c r="H384" s="9" t="n"/>
      <c r="I384" s="9" t="n"/>
      <c r="J384" s="9" t="n"/>
      <c r="K384" s="9" t="n"/>
      <c r="L384" s="9" t="n"/>
      <c r="M384" s="9" t="n"/>
      <c r="N384" s="8">
        <f>IF(COUNT(I384:M384)=5,SUM(I384:M384),"")</f>
        <v/>
      </c>
      <c r="O384" s="9">
        <f>IF(N384="","",IF(N384&gt;=16,"Priority",IF(N384&gt;=12,"Active",IF(N384&gt;=8,"Nurture / research","Park"))))</f>
        <v/>
      </c>
      <c r="P384" s="9" t="n"/>
      <c r="Q384" s="9" t="n"/>
      <c r="R384" s="9" t="n"/>
      <c r="S384" s="9" t="n"/>
      <c r="T384" s="9">
        <f>IF(OR(S384="",P384="Won",P384="Lost",P384="Disqualified"),"",IF(TODAY()&gt;S384,TODAY()-S384,0))</f>
        <v/>
      </c>
      <c r="U384" s="9" t="n"/>
      <c r="V384" s="9" t="n"/>
      <c r="W384" s="9" t="n"/>
      <c r="X384" s="9">
        <f>IF(C384="","",IF(COUNTIF($C$4:$C$403,C384)&gt;1,"DUPLICATE",""))</f>
        <v/>
      </c>
      <c r="Y384" s="9" t="n"/>
    </row>
    <row r="385">
      <c r="A385" s="9" t="n"/>
      <c r="B385" s="9" t="n"/>
      <c r="C385" s="9" t="n"/>
      <c r="D385" s="9" t="n"/>
      <c r="E385" s="9" t="n"/>
      <c r="F385" s="9" t="n"/>
      <c r="G385" s="9" t="n"/>
      <c r="H385" s="9" t="n"/>
      <c r="I385" s="9" t="n"/>
      <c r="J385" s="9" t="n"/>
      <c r="K385" s="9" t="n"/>
      <c r="L385" s="9" t="n"/>
      <c r="M385" s="9" t="n"/>
      <c r="N385" s="8">
        <f>IF(COUNT(I385:M385)=5,SUM(I385:M385),"")</f>
        <v/>
      </c>
      <c r="O385" s="9">
        <f>IF(N385="","",IF(N385&gt;=16,"Priority",IF(N385&gt;=12,"Active",IF(N385&gt;=8,"Nurture / research","Park"))))</f>
        <v/>
      </c>
      <c r="P385" s="9" t="n"/>
      <c r="Q385" s="9" t="n"/>
      <c r="R385" s="9" t="n"/>
      <c r="S385" s="9" t="n"/>
      <c r="T385" s="9">
        <f>IF(OR(S385="",P385="Won",P385="Lost",P385="Disqualified"),"",IF(TODAY()&gt;S385,TODAY()-S385,0))</f>
        <v/>
      </c>
      <c r="U385" s="9" t="n"/>
      <c r="V385" s="9" t="n"/>
      <c r="W385" s="9" t="n"/>
      <c r="X385" s="9">
        <f>IF(C385="","",IF(COUNTIF($C$4:$C$403,C385)&gt;1,"DUPLICATE",""))</f>
        <v/>
      </c>
      <c r="Y385" s="9" t="n"/>
    </row>
    <row r="386">
      <c r="A386" s="9" t="n"/>
      <c r="B386" s="9" t="n"/>
      <c r="C386" s="9" t="n"/>
      <c r="D386" s="9" t="n"/>
      <c r="E386" s="9" t="n"/>
      <c r="F386" s="9" t="n"/>
      <c r="G386" s="9" t="n"/>
      <c r="H386" s="9" t="n"/>
      <c r="I386" s="9" t="n"/>
      <c r="J386" s="9" t="n"/>
      <c r="K386" s="9" t="n"/>
      <c r="L386" s="9" t="n"/>
      <c r="M386" s="9" t="n"/>
      <c r="N386" s="8">
        <f>IF(COUNT(I386:M386)=5,SUM(I386:M386),"")</f>
        <v/>
      </c>
      <c r="O386" s="9">
        <f>IF(N386="","",IF(N386&gt;=16,"Priority",IF(N386&gt;=12,"Active",IF(N386&gt;=8,"Nurture / research","Park"))))</f>
        <v/>
      </c>
      <c r="P386" s="9" t="n"/>
      <c r="Q386" s="9" t="n"/>
      <c r="R386" s="9" t="n"/>
      <c r="S386" s="9" t="n"/>
      <c r="T386" s="9">
        <f>IF(OR(S386="",P386="Won",P386="Lost",P386="Disqualified"),"",IF(TODAY()&gt;S386,TODAY()-S386,0))</f>
        <v/>
      </c>
      <c r="U386" s="9" t="n"/>
      <c r="V386" s="9" t="n"/>
      <c r="W386" s="9" t="n"/>
      <c r="X386" s="9">
        <f>IF(C386="","",IF(COUNTIF($C$4:$C$403,C386)&gt;1,"DUPLICATE",""))</f>
        <v/>
      </c>
      <c r="Y386" s="9" t="n"/>
    </row>
    <row r="387">
      <c r="A387" s="9" t="n"/>
      <c r="B387" s="9" t="n"/>
      <c r="C387" s="9" t="n"/>
      <c r="D387" s="9" t="n"/>
      <c r="E387" s="9" t="n"/>
      <c r="F387" s="9" t="n"/>
      <c r="G387" s="9" t="n"/>
      <c r="H387" s="9" t="n"/>
      <c r="I387" s="9" t="n"/>
      <c r="J387" s="9" t="n"/>
      <c r="K387" s="9" t="n"/>
      <c r="L387" s="9" t="n"/>
      <c r="M387" s="9" t="n"/>
      <c r="N387" s="8">
        <f>IF(COUNT(I387:M387)=5,SUM(I387:M387),"")</f>
        <v/>
      </c>
      <c r="O387" s="9">
        <f>IF(N387="","",IF(N387&gt;=16,"Priority",IF(N387&gt;=12,"Active",IF(N387&gt;=8,"Nurture / research","Park"))))</f>
        <v/>
      </c>
      <c r="P387" s="9" t="n"/>
      <c r="Q387" s="9" t="n"/>
      <c r="R387" s="9" t="n"/>
      <c r="S387" s="9" t="n"/>
      <c r="T387" s="9">
        <f>IF(OR(S387="",P387="Won",P387="Lost",P387="Disqualified"),"",IF(TODAY()&gt;S387,TODAY()-S387,0))</f>
        <v/>
      </c>
      <c r="U387" s="9" t="n"/>
      <c r="V387" s="9" t="n"/>
      <c r="W387" s="9" t="n"/>
      <c r="X387" s="9">
        <f>IF(C387="","",IF(COUNTIF($C$4:$C$403,C387)&gt;1,"DUPLICATE",""))</f>
        <v/>
      </c>
      <c r="Y387" s="9" t="n"/>
    </row>
    <row r="388">
      <c r="A388" s="9" t="n"/>
      <c r="B388" s="9" t="n"/>
      <c r="C388" s="9" t="n"/>
      <c r="D388" s="9" t="n"/>
      <c r="E388" s="9" t="n"/>
      <c r="F388" s="9" t="n"/>
      <c r="G388" s="9" t="n"/>
      <c r="H388" s="9" t="n"/>
      <c r="I388" s="9" t="n"/>
      <c r="J388" s="9" t="n"/>
      <c r="K388" s="9" t="n"/>
      <c r="L388" s="9" t="n"/>
      <c r="M388" s="9" t="n"/>
      <c r="N388" s="8">
        <f>IF(COUNT(I388:M388)=5,SUM(I388:M388),"")</f>
        <v/>
      </c>
      <c r="O388" s="9">
        <f>IF(N388="","",IF(N388&gt;=16,"Priority",IF(N388&gt;=12,"Active",IF(N388&gt;=8,"Nurture / research","Park"))))</f>
        <v/>
      </c>
      <c r="P388" s="9" t="n"/>
      <c r="Q388" s="9" t="n"/>
      <c r="R388" s="9" t="n"/>
      <c r="S388" s="9" t="n"/>
      <c r="T388" s="9">
        <f>IF(OR(S388="",P388="Won",P388="Lost",P388="Disqualified"),"",IF(TODAY()&gt;S388,TODAY()-S388,0))</f>
        <v/>
      </c>
      <c r="U388" s="9" t="n"/>
      <c r="V388" s="9" t="n"/>
      <c r="W388" s="9" t="n"/>
      <c r="X388" s="9">
        <f>IF(C388="","",IF(COUNTIF($C$4:$C$403,C388)&gt;1,"DUPLICATE",""))</f>
        <v/>
      </c>
      <c r="Y388" s="9" t="n"/>
    </row>
    <row r="389">
      <c r="A389" s="9" t="n"/>
      <c r="B389" s="9" t="n"/>
      <c r="C389" s="9" t="n"/>
      <c r="D389" s="9" t="n"/>
      <c r="E389" s="9" t="n"/>
      <c r="F389" s="9" t="n"/>
      <c r="G389" s="9" t="n"/>
      <c r="H389" s="9" t="n"/>
      <c r="I389" s="9" t="n"/>
      <c r="J389" s="9" t="n"/>
      <c r="K389" s="9" t="n"/>
      <c r="L389" s="9" t="n"/>
      <c r="M389" s="9" t="n"/>
      <c r="N389" s="8">
        <f>IF(COUNT(I389:M389)=5,SUM(I389:M389),"")</f>
        <v/>
      </c>
      <c r="O389" s="9">
        <f>IF(N389="","",IF(N389&gt;=16,"Priority",IF(N389&gt;=12,"Active",IF(N389&gt;=8,"Nurture / research","Park"))))</f>
        <v/>
      </c>
      <c r="P389" s="9" t="n"/>
      <c r="Q389" s="9" t="n"/>
      <c r="R389" s="9" t="n"/>
      <c r="S389" s="9" t="n"/>
      <c r="T389" s="9">
        <f>IF(OR(S389="",P389="Won",P389="Lost",P389="Disqualified"),"",IF(TODAY()&gt;S389,TODAY()-S389,0))</f>
        <v/>
      </c>
      <c r="U389" s="9" t="n"/>
      <c r="V389" s="9" t="n"/>
      <c r="W389" s="9" t="n"/>
      <c r="X389" s="9">
        <f>IF(C389="","",IF(COUNTIF($C$4:$C$403,C389)&gt;1,"DUPLICATE",""))</f>
        <v/>
      </c>
      <c r="Y389" s="9" t="n"/>
    </row>
    <row r="390">
      <c r="A390" s="9" t="n"/>
      <c r="B390" s="9" t="n"/>
      <c r="C390" s="9" t="n"/>
      <c r="D390" s="9" t="n"/>
      <c r="E390" s="9" t="n"/>
      <c r="F390" s="9" t="n"/>
      <c r="G390" s="9" t="n"/>
      <c r="H390" s="9" t="n"/>
      <c r="I390" s="9" t="n"/>
      <c r="J390" s="9" t="n"/>
      <c r="K390" s="9" t="n"/>
      <c r="L390" s="9" t="n"/>
      <c r="M390" s="9" t="n"/>
      <c r="N390" s="8">
        <f>IF(COUNT(I390:M390)=5,SUM(I390:M390),"")</f>
        <v/>
      </c>
      <c r="O390" s="9">
        <f>IF(N390="","",IF(N390&gt;=16,"Priority",IF(N390&gt;=12,"Active",IF(N390&gt;=8,"Nurture / research","Park"))))</f>
        <v/>
      </c>
      <c r="P390" s="9" t="n"/>
      <c r="Q390" s="9" t="n"/>
      <c r="R390" s="9" t="n"/>
      <c r="S390" s="9" t="n"/>
      <c r="T390" s="9">
        <f>IF(OR(S390="",P390="Won",P390="Lost",P390="Disqualified"),"",IF(TODAY()&gt;S390,TODAY()-S390,0))</f>
        <v/>
      </c>
      <c r="U390" s="9" t="n"/>
      <c r="V390" s="9" t="n"/>
      <c r="W390" s="9" t="n"/>
      <c r="X390" s="9">
        <f>IF(C390="","",IF(COUNTIF($C$4:$C$403,C390)&gt;1,"DUPLICATE",""))</f>
        <v/>
      </c>
      <c r="Y390" s="9" t="n"/>
    </row>
    <row r="391">
      <c r="A391" s="9" t="n"/>
      <c r="B391" s="9" t="n"/>
      <c r="C391" s="9" t="n"/>
      <c r="D391" s="9" t="n"/>
      <c r="E391" s="9" t="n"/>
      <c r="F391" s="9" t="n"/>
      <c r="G391" s="9" t="n"/>
      <c r="H391" s="9" t="n"/>
      <c r="I391" s="9" t="n"/>
      <c r="J391" s="9" t="n"/>
      <c r="K391" s="9" t="n"/>
      <c r="L391" s="9" t="n"/>
      <c r="M391" s="9" t="n"/>
      <c r="N391" s="8">
        <f>IF(COUNT(I391:M391)=5,SUM(I391:M391),"")</f>
        <v/>
      </c>
      <c r="O391" s="9">
        <f>IF(N391="","",IF(N391&gt;=16,"Priority",IF(N391&gt;=12,"Active",IF(N391&gt;=8,"Nurture / research","Park"))))</f>
        <v/>
      </c>
      <c r="P391" s="9" t="n"/>
      <c r="Q391" s="9" t="n"/>
      <c r="R391" s="9" t="n"/>
      <c r="S391" s="9" t="n"/>
      <c r="T391" s="9">
        <f>IF(OR(S391="",P391="Won",P391="Lost",P391="Disqualified"),"",IF(TODAY()&gt;S391,TODAY()-S391,0))</f>
        <v/>
      </c>
      <c r="U391" s="9" t="n"/>
      <c r="V391" s="9" t="n"/>
      <c r="W391" s="9" t="n"/>
      <c r="X391" s="9">
        <f>IF(C391="","",IF(COUNTIF($C$4:$C$403,C391)&gt;1,"DUPLICATE",""))</f>
        <v/>
      </c>
      <c r="Y391" s="9" t="n"/>
    </row>
    <row r="392">
      <c r="A392" s="9" t="n"/>
      <c r="B392" s="9" t="n"/>
      <c r="C392" s="9" t="n"/>
      <c r="D392" s="9" t="n"/>
      <c r="E392" s="9" t="n"/>
      <c r="F392" s="9" t="n"/>
      <c r="G392" s="9" t="n"/>
      <c r="H392" s="9" t="n"/>
      <c r="I392" s="9" t="n"/>
      <c r="J392" s="9" t="n"/>
      <c r="K392" s="9" t="n"/>
      <c r="L392" s="9" t="n"/>
      <c r="M392" s="9" t="n"/>
      <c r="N392" s="8">
        <f>IF(COUNT(I392:M392)=5,SUM(I392:M392),"")</f>
        <v/>
      </c>
      <c r="O392" s="9">
        <f>IF(N392="","",IF(N392&gt;=16,"Priority",IF(N392&gt;=12,"Active",IF(N392&gt;=8,"Nurture / research","Park"))))</f>
        <v/>
      </c>
      <c r="P392" s="9" t="n"/>
      <c r="Q392" s="9" t="n"/>
      <c r="R392" s="9" t="n"/>
      <c r="S392" s="9" t="n"/>
      <c r="T392" s="9">
        <f>IF(OR(S392="",P392="Won",P392="Lost",P392="Disqualified"),"",IF(TODAY()&gt;S392,TODAY()-S392,0))</f>
        <v/>
      </c>
      <c r="U392" s="9" t="n"/>
      <c r="V392" s="9" t="n"/>
      <c r="W392" s="9" t="n"/>
      <c r="X392" s="9">
        <f>IF(C392="","",IF(COUNTIF($C$4:$C$403,C392)&gt;1,"DUPLICATE",""))</f>
        <v/>
      </c>
      <c r="Y392" s="9" t="n"/>
    </row>
    <row r="393">
      <c r="A393" s="9" t="n"/>
      <c r="B393" s="9" t="n"/>
      <c r="C393" s="9" t="n"/>
      <c r="D393" s="9" t="n"/>
      <c r="E393" s="9" t="n"/>
      <c r="F393" s="9" t="n"/>
      <c r="G393" s="9" t="n"/>
      <c r="H393" s="9" t="n"/>
      <c r="I393" s="9" t="n"/>
      <c r="J393" s="9" t="n"/>
      <c r="K393" s="9" t="n"/>
      <c r="L393" s="9" t="n"/>
      <c r="M393" s="9" t="n"/>
      <c r="N393" s="8">
        <f>IF(COUNT(I393:M393)=5,SUM(I393:M393),"")</f>
        <v/>
      </c>
      <c r="O393" s="9">
        <f>IF(N393="","",IF(N393&gt;=16,"Priority",IF(N393&gt;=12,"Active",IF(N393&gt;=8,"Nurture / research","Park"))))</f>
        <v/>
      </c>
      <c r="P393" s="9" t="n"/>
      <c r="Q393" s="9" t="n"/>
      <c r="R393" s="9" t="n"/>
      <c r="S393" s="9" t="n"/>
      <c r="T393" s="9">
        <f>IF(OR(S393="",P393="Won",P393="Lost",P393="Disqualified"),"",IF(TODAY()&gt;S393,TODAY()-S393,0))</f>
        <v/>
      </c>
      <c r="U393" s="9" t="n"/>
      <c r="V393" s="9" t="n"/>
      <c r="W393" s="9" t="n"/>
      <c r="X393" s="9">
        <f>IF(C393="","",IF(COUNTIF($C$4:$C$403,C393)&gt;1,"DUPLICATE",""))</f>
        <v/>
      </c>
      <c r="Y393" s="9" t="n"/>
    </row>
    <row r="394">
      <c r="A394" s="9" t="n"/>
      <c r="B394" s="9" t="n"/>
      <c r="C394" s="9" t="n"/>
      <c r="D394" s="9" t="n"/>
      <c r="E394" s="9" t="n"/>
      <c r="F394" s="9" t="n"/>
      <c r="G394" s="9" t="n"/>
      <c r="H394" s="9" t="n"/>
      <c r="I394" s="9" t="n"/>
      <c r="J394" s="9" t="n"/>
      <c r="K394" s="9" t="n"/>
      <c r="L394" s="9" t="n"/>
      <c r="M394" s="9" t="n"/>
      <c r="N394" s="8">
        <f>IF(COUNT(I394:M394)=5,SUM(I394:M394),"")</f>
        <v/>
      </c>
      <c r="O394" s="9">
        <f>IF(N394="","",IF(N394&gt;=16,"Priority",IF(N394&gt;=12,"Active",IF(N394&gt;=8,"Nurture / research","Park"))))</f>
        <v/>
      </c>
      <c r="P394" s="9" t="n"/>
      <c r="Q394" s="9" t="n"/>
      <c r="R394" s="9" t="n"/>
      <c r="S394" s="9" t="n"/>
      <c r="T394" s="9">
        <f>IF(OR(S394="",P394="Won",P394="Lost",P394="Disqualified"),"",IF(TODAY()&gt;S394,TODAY()-S394,0))</f>
        <v/>
      </c>
      <c r="U394" s="9" t="n"/>
      <c r="V394" s="9" t="n"/>
      <c r="W394" s="9" t="n"/>
      <c r="X394" s="9">
        <f>IF(C394="","",IF(COUNTIF($C$4:$C$403,C394)&gt;1,"DUPLICATE",""))</f>
        <v/>
      </c>
      <c r="Y394" s="9" t="n"/>
    </row>
    <row r="395">
      <c r="A395" s="9" t="n"/>
      <c r="B395" s="9" t="n"/>
      <c r="C395" s="9" t="n"/>
      <c r="D395" s="9" t="n"/>
      <c r="E395" s="9" t="n"/>
      <c r="F395" s="9" t="n"/>
      <c r="G395" s="9" t="n"/>
      <c r="H395" s="9" t="n"/>
      <c r="I395" s="9" t="n"/>
      <c r="J395" s="9" t="n"/>
      <c r="K395" s="9" t="n"/>
      <c r="L395" s="9" t="n"/>
      <c r="M395" s="9" t="n"/>
      <c r="N395" s="8">
        <f>IF(COUNT(I395:M395)=5,SUM(I395:M395),"")</f>
        <v/>
      </c>
      <c r="O395" s="9">
        <f>IF(N395="","",IF(N395&gt;=16,"Priority",IF(N395&gt;=12,"Active",IF(N395&gt;=8,"Nurture / research","Park"))))</f>
        <v/>
      </c>
      <c r="P395" s="9" t="n"/>
      <c r="Q395" s="9" t="n"/>
      <c r="R395" s="9" t="n"/>
      <c r="S395" s="9" t="n"/>
      <c r="T395" s="9">
        <f>IF(OR(S395="",P395="Won",P395="Lost",P395="Disqualified"),"",IF(TODAY()&gt;S395,TODAY()-S395,0))</f>
        <v/>
      </c>
      <c r="U395" s="9" t="n"/>
      <c r="V395" s="9" t="n"/>
      <c r="W395" s="9" t="n"/>
      <c r="X395" s="9">
        <f>IF(C395="","",IF(COUNTIF($C$4:$C$403,C395)&gt;1,"DUPLICATE",""))</f>
        <v/>
      </c>
      <c r="Y395" s="9" t="n"/>
    </row>
    <row r="396">
      <c r="A396" s="9" t="n"/>
      <c r="B396" s="9" t="n"/>
      <c r="C396" s="9" t="n"/>
      <c r="D396" s="9" t="n"/>
      <c r="E396" s="9" t="n"/>
      <c r="F396" s="9" t="n"/>
      <c r="G396" s="9" t="n"/>
      <c r="H396" s="9" t="n"/>
      <c r="I396" s="9" t="n"/>
      <c r="J396" s="9" t="n"/>
      <c r="K396" s="9" t="n"/>
      <c r="L396" s="9" t="n"/>
      <c r="M396" s="9" t="n"/>
      <c r="N396" s="8">
        <f>IF(COUNT(I396:M396)=5,SUM(I396:M396),"")</f>
        <v/>
      </c>
      <c r="O396" s="9">
        <f>IF(N396="","",IF(N396&gt;=16,"Priority",IF(N396&gt;=12,"Active",IF(N396&gt;=8,"Nurture / research","Park"))))</f>
        <v/>
      </c>
      <c r="P396" s="9" t="n"/>
      <c r="Q396" s="9" t="n"/>
      <c r="R396" s="9" t="n"/>
      <c r="S396" s="9" t="n"/>
      <c r="T396" s="9">
        <f>IF(OR(S396="",P396="Won",P396="Lost",P396="Disqualified"),"",IF(TODAY()&gt;S396,TODAY()-S396,0))</f>
        <v/>
      </c>
      <c r="U396" s="9" t="n"/>
      <c r="V396" s="9" t="n"/>
      <c r="W396" s="9" t="n"/>
      <c r="X396" s="9">
        <f>IF(C396="","",IF(COUNTIF($C$4:$C$403,C396)&gt;1,"DUPLICATE",""))</f>
        <v/>
      </c>
      <c r="Y396" s="9" t="n"/>
    </row>
    <row r="397">
      <c r="A397" s="9" t="n"/>
      <c r="B397" s="9" t="n"/>
      <c r="C397" s="9" t="n"/>
      <c r="D397" s="9" t="n"/>
      <c r="E397" s="9" t="n"/>
      <c r="F397" s="9" t="n"/>
      <c r="G397" s="9" t="n"/>
      <c r="H397" s="9" t="n"/>
      <c r="I397" s="9" t="n"/>
      <c r="J397" s="9" t="n"/>
      <c r="K397" s="9" t="n"/>
      <c r="L397" s="9" t="n"/>
      <c r="M397" s="9" t="n"/>
      <c r="N397" s="8">
        <f>IF(COUNT(I397:M397)=5,SUM(I397:M397),"")</f>
        <v/>
      </c>
      <c r="O397" s="9">
        <f>IF(N397="","",IF(N397&gt;=16,"Priority",IF(N397&gt;=12,"Active",IF(N397&gt;=8,"Nurture / research","Park"))))</f>
        <v/>
      </c>
      <c r="P397" s="9" t="n"/>
      <c r="Q397" s="9" t="n"/>
      <c r="R397" s="9" t="n"/>
      <c r="S397" s="9" t="n"/>
      <c r="T397" s="9">
        <f>IF(OR(S397="",P397="Won",P397="Lost",P397="Disqualified"),"",IF(TODAY()&gt;S397,TODAY()-S397,0))</f>
        <v/>
      </c>
      <c r="U397" s="9" t="n"/>
      <c r="V397" s="9" t="n"/>
      <c r="W397" s="9" t="n"/>
      <c r="X397" s="9">
        <f>IF(C397="","",IF(COUNTIF($C$4:$C$403,C397)&gt;1,"DUPLICATE",""))</f>
        <v/>
      </c>
      <c r="Y397" s="9" t="n"/>
    </row>
    <row r="398">
      <c r="A398" s="9" t="n"/>
      <c r="B398" s="9" t="n"/>
      <c r="C398" s="9" t="n"/>
      <c r="D398" s="9" t="n"/>
      <c r="E398" s="9" t="n"/>
      <c r="F398" s="9" t="n"/>
      <c r="G398" s="9" t="n"/>
      <c r="H398" s="9" t="n"/>
      <c r="I398" s="9" t="n"/>
      <c r="J398" s="9" t="n"/>
      <c r="K398" s="9" t="n"/>
      <c r="L398" s="9" t="n"/>
      <c r="M398" s="9" t="n"/>
      <c r="N398" s="8">
        <f>IF(COUNT(I398:M398)=5,SUM(I398:M398),"")</f>
        <v/>
      </c>
      <c r="O398" s="9">
        <f>IF(N398="","",IF(N398&gt;=16,"Priority",IF(N398&gt;=12,"Active",IF(N398&gt;=8,"Nurture / research","Park"))))</f>
        <v/>
      </c>
      <c r="P398" s="9" t="n"/>
      <c r="Q398" s="9" t="n"/>
      <c r="R398" s="9" t="n"/>
      <c r="S398" s="9" t="n"/>
      <c r="T398" s="9">
        <f>IF(OR(S398="",P398="Won",P398="Lost",P398="Disqualified"),"",IF(TODAY()&gt;S398,TODAY()-S398,0))</f>
        <v/>
      </c>
      <c r="U398" s="9" t="n"/>
      <c r="V398" s="9" t="n"/>
      <c r="W398" s="9" t="n"/>
      <c r="X398" s="9">
        <f>IF(C398="","",IF(COUNTIF($C$4:$C$403,C398)&gt;1,"DUPLICATE",""))</f>
        <v/>
      </c>
      <c r="Y398" s="9" t="n"/>
    </row>
    <row r="399">
      <c r="A399" s="9" t="n"/>
      <c r="B399" s="9" t="n"/>
      <c r="C399" s="9" t="n"/>
      <c r="D399" s="9" t="n"/>
      <c r="E399" s="9" t="n"/>
      <c r="F399" s="9" t="n"/>
      <c r="G399" s="9" t="n"/>
      <c r="H399" s="9" t="n"/>
      <c r="I399" s="9" t="n"/>
      <c r="J399" s="9" t="n"/>
      <c r="K399" s="9" t="n"/>
      <c r="L399" s="9" t="n"/>
      <c r="M399" s="9" t="n"/>
      <c r="N399" s="8">
        <f>IF(COUNT(I399:M399)=5,SUM(I399:M399),"")</f>
        <v/>
      </c>
      <c r="O399" s="9">
        <f>IF(N399="","",IF(N399&gt;=16,"Priority",IF(N399&gt;=12,"Active",IF(N399&gt;=8,"Nurture / research","Park"))))</f>
        <v/>
      </c>
      <c r="P399" s="9" t="n"/>
      <c r="Q399" s="9" t="n"/>
      <c r="R399" s="9" t="n"/>
      <c r="S399" s="9" t="n"/>
      <c r="T399" s="9">
        <f>IF(OR(S399="",P399="Won",P399="Lost",P399="Disqualified"),"",IF(TODAY()&gt;S399,TODAY()-S399,0))</f>
        <v/>
      </c>
      <c r="U399" s="9" t="n"/>
      <c r="V399" s="9" t="n"/>
      <c r="W399" s="9" t="n"/>
      <c r="X399" s="9">
        <f>IF(C399="","",IF(COUNTIF($C$4:$C$403,C399)&gt;1,"DUPLICATE",""))</f>
        <v/>
      </c>
      <c r="Y399" s="9" t="n"/>
    </row>
    <row r="400">
      <c r="A400" s="9" t="n"/>
      <c r="B400" s="9" t="n"/>
      <c r="C400" s="9" t="n"/>
      <c r="D400" s="9" t="n"/>
      <c r="E400" s="9" t="n"/>
      <c r="F400" s="9" t="n"/>
      <c r="G400" s="9" t="n"/>
      <c r="H400" s="9" t="n"/>
      <c r="I400" s="9" t="n"/>
      <c r="J400" s="9" t="n"/>
      <c r="K400" s="9" t="n"/>
      <c r="L400" s="9" t="n"/>
      <c r="M400" s="9" t="n"/>
      <c r="N400" s="8">
        <f>IF(COUNT(I400:M400)=5,SUM(I400:M400),"")</f>
        <v/>
      </c>
      <c r="O400" s="9">
        <f>IF(N400="","",IF(N400&gt;=16,"Priority",IF(N400&gt;=12,"Active",IF(N400&gt;=8,"Nurture / research","Park"))))</f>
        <v/>
      </c>
      <c r="P400" s="9" t="n"/>
      <c r="Q400" s="9" t="n"/>
      <c r="R400" s="9" t="n"/>
      <c r="S400" s="9" t="n"/>
      <c r="T400" s="9">
        <f>IF(OR(S400="",P400="Won",P400="Lost",P400="Disqualified"),"",IF(TODAY()&gt;S400,TODAY()-S400,0))</f>
        <v/>
      </c>
      <c r="U400" s="9" t="n"/>
      <c r="V400" s="9" t="n"/>
      <c r="W400" s="9" t="n"/>
      <c r="X400" s="9">
        <f>IF(C400="","",IF(COUNTIF($C$4:$C$403,C400)&gt;1,"DUPLICATE",""))</f>
        <v/>
      </c>
      <c r="Y400" s="9" t="n"/>
    </row>
    <row r="401">
      <c r="A401" s="9" t="n"/>
      <c r="B401" s="9" t="n"/>
      <c r="C401" s="9" t="n"/>
      <c r="D401" s="9" t="n"/>
      <c r="E401" s="9" t="n"/>
      <c r="F401" s="9" t="n"/>
      <c r="G401" s="9" t="n"/>
      <c r="H401" s="9" t="n"/>
      <c r="I401" s="9" t="n"/>
      <c r="J401" s="9" t="n"/>
      <c r="K401" s="9" t="n"/>
      <c r="L401" s="9" t="n"/>
      <c r="M401" s="9" t="n"/>
      <c r="N401" s="8">
        <f>IF(COUNT(I401:M401)=5,SUM(I401:M401),"")</f>
        <v/>
      </c>
      <c r="O401" s="9">
        <f>IF(N401="","",IF(N401&gt;=16,"Priority",IF(N401&gt;=12,"Active",IF(N401&gt;=8,"Nurture / research","Park"))))</f>
        <v/>
      </c>
      <c r="P401" s="9" t="n"/>
      <c r="Q401" s="9" t="n"/>
      <c r="R401" s="9" t="n"/>
      <c r="S401" s="9" t="n"/>
      <c r="T401" s="9">
        <f>IF(OR(S401="",P401="Won",P401="Lost",P401="Disqualified"),"",IF(TODAY()&gt;S401,TODAY()-S401,0))</f>
        <v/>
      </c>
      <c r="U401" s="9" t="n"/>
      <c r="V401" s="9" t="n"/>
      <c r="W401" s="9" t="n"/>
      <c r="X401" s="9">
        <f>IF(C401="","",IF(COUNTIF($C$4:$C$403,C401)&gt;1,"DUPLICATE",""))</f>
        <v/>
      </c>
      <c r="Y401" s="9" t="n"/>
    </row>
    <row r="402">
      <c r="A402" s="9" t="n"/>
      <c r="B402" s="9" t="n"/>
      <c r="C402" s="9" t="n"/>
      <c r="D402" s="9" t="n"/>
      <c r="E402" s="9" t="n"/>
      <c r="F402" s="9" t="n"/>
      <c r="G402" s="9" t="n"/>
      <c r="H402" s="9" t="n"/>
      <c r="I402" s="9" t="n"/>
      <c r="J402" s="9" t="n"/>
      <c r="K402" s="9" t="n"/>
      <c r="L402" s="9" t="n"/>
      <c r="M402" s="9" t="n"/>
      <c r="N402" s="8">
        <f>IF(COUNT(I402:M402)=5,SUM(I402:M402),"")</f>
        <v/>
      </c>
      <c r="O402" s="9">
        <f>IF(N402="","",IF(N402&gt;=16,"Priority",IF(N402&gt;=12,"Active",IF(N402&gt;=8,"Nurture / research","Park"))))</f>
        <v/>
      </c>
      <c r="P402" s="9" t="n"/>
      <c r="Q402" s="9" t="n"/>
      <c r="R402" s="9" t="n"/>
      <c r="S402" s="9" t="n"/>
      <c r="T402" s="9">
        <f>IF(OR(S402="",P402="Won",P402="Lost",P402="Disqualified"),"",IF(TODAY()&gt;S402,TODAY()-S402,0))</f>
        <v/>
      </c>
      <c r="U402" s="9" t="n"/>
      <c r="V402" s="9" t="n"/>
      <c r="W402" s="9" t="n"/>
      <c r="X402" s="9">
        <f>IF(C402="","",IF(COUNTIF($C$4:$C$403,C402)&gt;1,"DUPLICATE",""))</f>
        <v/>
      </c>
      <c r="Y402" s="9" t="n"/>
    </row>
    <row r="403">
      <c r="A403" s="9" t="n"/>
      <c r="B403" s="9" t="n"/>
      <c r="C403" s="9" t="n"/>
      <c r="D403" s="9" t="n"/>
      <c r="E403" s="9" t="n"/>
      <c r="F403" s="9" t="n"/>
      <c r="G403" s="9" t="n"/>
      <c r="H403" s="9" t="n"/>
      <c r="I403" s="9" t="n"/>
      <c r="J403" s="9" t="n"/>
      <c r="K403" s="9" t="n"/>
      <c r="L403" s="9" t="n"/>
      <c r="M403" s="9" t="n"/>
      <c r="N403" s="8">
        <f>IF(COUNT(I403:M403)=5,SUM(I403:M403),"")</f>
        <v/>
      </c>
      <c r="O403" s="9">
        <f>IF(N403="","",IF(N403&gt;=16,"Priority",IF(N403&gt;=12,"Active",IF(N403&gt;=8,"Nurture / research","Park"))))</f>
        <v/>
      </c>
      <c r="P403" s="9" t="n"/>
      <c r="Q403" s="9" t="n"/>
      <c r="R403" s="9" t="n"/>
      <c r="S403" s="9" t="n"/>
      <c r="T403" s="9">
        <f>IF(OR(S403="",P403="Won",P403="Lost",P403="Disqualified"),"",IF(TODAY()&gt;S403,TODAY()-S403,0))</f>
        <v/>
      </c>
      <c r="U403" s="9" t="n"/>
      <c r="V403" s="9" t="n"/>
      <c r="W403" s="9" t="n"/>
      <c r="X403" s="9">
        <f>IF(C403="","",IF(COUNTIF($C$4:$C$403,C403)&gt;1,"DUPLICATE",""))</f>
        <v/>
      </c>
      <c r="Y403" s="9" t="n"/>
    </row>
  </sheetData>
  <autoFilter ref="A3:Y403"/>
  <conditionalFormatting sqref="O4:O403">
    <cfRule type="cellIs" priority="1" operator="equal" dxfId="0">
      <formula>"Priority"</formula>
    </cfRule>
    <cfRule type="cellIs" priority="2" operator="equal" dxfId="1">
      <formula>"Park"</formula>
    </cfRule>
  </conditionalFormatting>
  <conditionalFormatting sqref="T4:T403">
    <cfRule type="cellIs" priority="3" operator="greaterThan" dxfId="2">
      <formula>0</formula>
    </cfRule>
  </conditionalFormatting>
  <conditionalFormatting sqref="X4:X403">
    <cfRule type="cellIs" priority="4" operator="equal" dxfId="1">
      <formula>"DUPLICATE"</formula>
    </cfRule>
  </conditionalFormatting>
  <conditionalFormatting sqref="R4:R403">
    <cfRule type="expression" priority="5" dxfId="2">
      <formula>AND($R4="",$P4&lt;&gt;"",$P4&lt;&gt;"Won",$P4&lt;&gt;"Lost",$P4&lt;&gt;"Disqualified")</formula>
    </cfRule>
  </conditionalFormatting>
  <dataValidations count="8">
    <dataValidation sqref="F4:F404" showDropDown="0" showInputMessage="0" showErrorMessage="0" allowBlank="1" type="list">
      <formula1>Lists!$A$1:$A$9</formula1>
    </dataValidation>
    <dataValidation sqref="I4:I404" showDropDown="0" showInputMessage="0" showErrorMessage="0" allowBlank="1" type="list">
      <formula1>Lists!$C$1:$C$6</formula1>
    </dataValidation>
    <dataValidation sqref="J4:J404" showDropDown="0" showInputMessage="0" showErrorMessage="0" allowBlank="1" type="list">
      <formula1>Lists!$C$1:$C$6</formula1>
    </dataValidation>
    <dataValidation sqref="K4:K404" showDropDown="0" showInputMessage="0" showErrorMessage="0" allowBlank="1" type="list">
      <formula1>Lists!$C$1:$C$6</formula1>
    </dataValidation>
    <dataValidation sqref="L4:L404" showDropDown="0" showInputMessage="0" showErrorMessage="0" allowBlank="1" type="list">
      <formula1>Lists!$D$1:$D$4</formula1>
    </dataValidation>
    <dataValidation sqref="M4:M404" showDropDown="0" showInputMessage="0" showErrorMessage="0" allowBlank="1" type="list">
      <formula1>Lists!$E$1:$E$3</formula1>
    </dataValidation>
    <dataValidation sqref="P4:P404" showDropDown="0" showInputMessage="0" showErrorMessage="0" allowBlank="1" type="list">
      <formula1>Lists!$B$1:$B$13</formula1>
    </dataValidation>
    <dataValidation sqref="Q4:Q404" showDropDown="0" showInputMessage="0" showErrorMessage="0" allowBlank="1" type="list">
      <formula1>Lists!$F$1:$F$3</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303"/>
  <sheetViews>
    <sheetView showGridLines="0" workbookViewId="0">
      <pane ySplit="3" topLeftCell="A4" activePane="bottomLeft" state="frozen"/>
      <selection pane="bottomLeft" activeCell="A1" sqref="A1"/>
    </sheetView>
  </sheetViews>
  <sheetFormatPr baseColWidth="8" defaultRowHeight="15"/>
  <cols>
    <col width="11" customWidth="1" min="1" max="1"/>
    <col width="11" customWidth="1" min="2" max="2"/>
    <col width="24" customWidth="1" min="3" max="3"/>
    <col width="13" customWidth="1" min="4" max="4"/>
    <col width="13" customWidth="1" min="5" max="5"/>
    <col width="22" customWidth="1" min="6" max="6"/>
    <col width="20" customWidth="1" min="7" max="7"/>
    <col width="13" customWidth="1" min="8" max="8"/>
    <col width="28" customWidth="1" min="9" max="9"/>
    <col width="14" customWidth="1" min="10" max="10"/>
    <col width="15" customWidth="1" min="11" max="11"/>
    <col width="12" customWidth="1" min="12" max="12"/>
    <col width="18" customWidth="1" min="13" max="13"/>
    <col width="12" customWidth="1" min="14" max="14"/>
    <col width="11" customWidth="1" min="15" max="15"/>
    <col width="32" customWidth="1" min="16" max="16"/>
  </cols>
  <sheetData>
    <row r="1">
      <c r="A1" s="1" t="inlineStr">
        <is>
          <t>Contact Tracker</t>
        </is>
      </c>
    </row>
    <row r="2">
      <c r="A2" s="2" t="inlineStr">
        <is>
          <t>One row per person. A job title is not proof someone signs — confirm it.</t>
        </is>
      </c>
    </row>
    <row r="3">
      <c r="A3" s="6" t="inlineStr">
        <is>
          <t>Contact ID</t>
        </is>
      </c>
      <c r="B3" s="6" t="inlineStr">
        <is>
          <t>Account ID</t>
        </is>
      </c>
      <c r="C3" s="6" t="inlineStr">
        <is>
          <t>Company</t>
        </is>
      </c>
      <c r="D3" s="6" t="inlineStr">
        <is>
          <t>First name</t>
        </is>
      </c>
      <c r="E3" s="6" t="inlineStr">
        <is>
          <t>Last name</t>
        </is>
      </c>
      <c r="F3" s="6" t="inlineStr">
        <is>
          <t>Role</t>
        </is>
      </c>
      <c r="G3" s="6" t="inlineStr">
        <is>
          <t>Role type</t>
        </is>
      </c>
      <c r="H3" s="6" t="inlineStr">
        <is>
          <t>Signs off?</t>
        </is>
      </c>
      <c r="I3" s="6" t="inlineStr">
        <is>
          <t>Email</t>
        </is>
      </c>
      <c r="J3" s="6" t="inlineStr">
        <is>
          <t>Email status</t>
        </is>
      </c>
      <c r="K3" s="6" t="inlineStr">
        <is>
          <t>Phone</t>
        </is>
      </c>
      <c r="L3" s="6" t="inlineStr">
        <is>
          <t>Line type</t>
        </is>
      </c>
      <c r="M3" s="6" t="inlineStr">
        <is>
          <t>Source</t>
        </is>
      </c>
      <c r="N3" s="6" t="inlineStr">
        <is>
          <t>Found on</t>
        </is>
      </c>
      <c r="O3" s="6" t="inlineStr">
        <is>
          <t>Opted out</t>
        </is>
      </c>
      <c r="P3" s="6" t="inlineStr">
        <is>
          <t>Notes</t>
        </is>
      </c>
    </row>
    <row r="4">
      <c r="A4" s="7" t="inlineStr">
        <is>
          <t>CON-001</t>
        </is>
      </c>
      <c r="B4" s="7" t="inlineStr">
        <is>
          <t>ACC-001</t>
        </is>
      </c>
      <c r="C4" s="7" t="inlineStr">
        <is>
          <t>(example) Northgate Dental</t>
        </is>
      </c>
      <c r="D4" s="7" t="inlineStr">
        <is>
          <t>Dana</t>
        </is>
      </c>
      <c r="E4" s="7" t="inlineStr">
        <is>
          <t>Reyes</t>
        </is>
      </c>
      <c r="F4" s="7" t="inlineStr">
        <is>
          <t>Practice Manager</t>
        </is>
      </c>
      <c r="G4" s="7" t="inlineStr">
        <is>
          <t>Practice Manager</t>
        </is>
      </c>
      <c r="H4" s="7" t="inlineStr">
        <is>
          <t>Likely</t>
        </is>
      </c>
      <c r="I4" s="7" t="inlineStr">
        <is>
          <t>dana@northgate-example.com</t>
        </is>
      </c>
      <c r="J4" s="7" t="inlineStr">
        <is>
          <t>Verified</t>
        </is>
      </c>
      <c r="K4" s="7" t="inlineStr"/>
      <c r="L4" s="7" t="inlineStr">
        <is>
          <t>Unknown</t>
        </is>
      </c>
      <c r="M4" s="7" t="inlineStr">
        <is>
          <t>Practice site - team page</t>
        </is>
      </c>
      <c r="N4" s="7">
        <f>TODAY()-13</f>
        <v/>
      </c>
      <c r="O4" s="7" t="inlineStr">
        <is>
          <t>No</t>
        </is>
      </c>
      <c r="P4" s="7" t="inlineStr">
        <is>
          <t>Named on the site. Not yet confirmed she signs.</t>
        </is>
      </c>
    </row>
    <row r="5">
      <c r="A5" s="7" t="inlineStr">
        <is>
          <t>CON-002</t>
        </is>
      </c>
      <c r="B5" s="7" t="inlineStr">
        <is>
          <t>ACC-003</t>
        </is>
      </c>
      <c r="C5" s="7" t="inlineStr">
        <is>
          <t>(example) Foster Property Group</t>
        </is>
      </c>
      <c r="D5" s="7" t="inlineStr">
        <is>
          <t>Marcus</t>
        </is>
      </c>
      <c r="E5" s="7" t="inlineStr">
        <is>
          <t>Hale</t>
        </is>
      </c>
      <c r="F5" s="7" t="inlineStr">
        <is>
          <t>Property Manager</t>
        </is>
      </c>
      <c r="G5" s="7" t="inlineStr">
        <is>
          <t>Property Manager</t>
        </is>
      </c>
      <c r="H5" s="7" t="inlineStr">
        <is>
          <t>Confirmed</t>
        </is>
      </c>
      <c r="I5" s="7" t="inlineStr">
        <is>
          <t>m.hale@fosterpg-example.com</t>
        </is>
      </c>
      <c r="J5" s="7" t="inlineStr">
        <is>
          <t>Verified</t>
        </is>
      </c>
      <c r="K5" s="7" t="inlineStr"/>
      <c r="L5" s="7" t="inlineStr">
        <is>
          <t>Landline</t>
        </is>
      </c>
      <c r="M5" s="7" t="inlineStr">
        <is>
          <t>Building listing</t>
        </is>
      </c>
      <c r="N5" s="7">
        <f>TODAY()-20</f>
        <v/>
      </c>
      <c r="O5" s="7" t="inlineStr">
        <is>
          <t>No</t>
        </is>
      </c>
      <c r="P5" s="7" t="inlineStr">
        <is>
          <t>Said on the call that he signs cleaning contracts.</t>
        </is>
      </c>
    </row>
    <row r="6">
      <c r="A6" s="7" t="inlineStr">
        <is>
          <t>CON-003</t>
        </is>
      </c>
      <c r="B6" s="7" t="inlineStr">
        <is>
          <t>ACC-002</t>
        </is>
      </c>
      <c r="C6" s="7" t="inlineStr">
        <is>
          <t>(example) Cedar Ridge Offices</t>
        </is>
      </c>
      <c r="D6" s="7" t="inlineStr"/>
      <c r="E6" s="7" t="inlineStr"/>
      <c r="F6" s="7" t="inlineStr">
        <is>
          <t>Office Manager</t>
        </is>
      </c>
      <c r="G6" s="7" t="inlineStr">
        <is>
          <t>Office Manager</t>
        </is>
      </c>
      <c r="H6" s="7" t="inlineStr">
        <is>
          <t>Unknown</t>
        </is>
      </c>
      <c r="I6" s="7" t="inlineStr">
        <is>
          <t>info@cedarridge-example.com</t>
        </is>
      </c>
      <c r="J6" s="7" t="inlineStr">
        <is>
          <t>Verified</t>
        </is>
      </c>
      <c r="K6" s="7" t="inlineStr"/>
      <c r="L6" s="7" t="inlineStr">
        <is>
          <t>Unknown</t>
        </is>
      </c>
      <c r="M6" s="7" t="inlineStr">
        <is>
          <t>Site contact page</t>
        </is>
      </c>
      <c r="N6" s="7">
        <f>TODAY()-6</f>
        <v/>
      </c>
      <c r="O6" s="7" t="inlineStr">
        <is>
          <t>No</t>
        </is>
      </c>
      <c r="P6" s="7" t="inlineStr">
        <is>
          <t>Generic inbox only. Write it to be forwarded.</t>
        </is>
      </c>
    </row>
    <row r="7">
      <c r="A7" s="7" t="n"/>
      <c r="B7" s="7" t="n"/>
      <c r="C7" s="7" t="n"/>
      <c r="D7" s="7" t="n"/>
      <c r="E7" s="7" t="n"/>
      <c r="F7" s="7" t="n"/>
      <c r="G7" s="7" t="n"/>
      <c r="H7" s="7" t="n"/>
      <c r="I7" s="7" t="n"/>
      <c r="J7" s="7" t="n"/>
      <c r="K7" s="7" t="n"/>
      <c r="L7" s="7" t="n"/>
      <c r="M7" s="7" t="n"/>
      <c r="N7" s="7" t="n"/>
      <c r="O7" s="7" t="n"/>
      <c r="P7" s="7" t="n"/>
    </row>
    <row r="8">
      <c r="A8" s="7" t="n"/>
      <c r="B8" s="7" t="n"/>
      <c r="C8" s="7" t="n"/>
      <c r="D8" s="7" t="n"/>
      <c r="E8" s="7" t="n"/>
      <c r="F8" s="7" t="n"/>
      <c r="G8" s="7" t="n"/>
      <c r="H8" s="7" t="n"/>
      <c r="I8" s="7" t="n"/>
      <c r="J8" s="7" t="n"/>
      <c r="K8" s="7" t="n"/>
      <c r="L8" s="7" t="n"/>
      <c r="M8" s="7" t="n"/>
      <c r="N8" s="7" t="n"/>
      <c r="O8" s="7" t="n"/>
      <c r="P8" s="7" t="n"/>
    </row>
    <row r="9">
      <c r="A9" s="7" t="n"/>
      <c r="B9" s="7" t="n"/>
      <c r="C9" s="7" t="n"/>
      <c r="D9" s="7" t="n"/>
      <c r="E9" s="7" t="n"/>
      <c r="F9" s="7" t="n"/>
      <c r="G9" s="7" t="n"/>
      <c r="H9" s="7" t="n"/>
      <c r="I9" s="7" t="n"/>
      <c r="J9" s="7" t="n"/>
      <c r="K9" s="7" t="n"/>
      <c r="L9" s="7" t="n"/>
      <c r="M9" s="7" t="n"/>
      <c r="N9" s="7" t="n"/>
      <c r="O9" s="7" t="n"/>
      <c r="P9" s="7" t="n"/>
    </row>
    <row r="10">
      <c r="A10" s="7" t="n"/>
      <c r="B10" s="7" t="n"/>
      <c r="C10" s="7" t="n"/>
      <c r="D10" s="7" t="n"/>
      <c r="E10" s="7" t="n"/>
      <c r="F10" s="7" t="n"/>
      <c r="G10" s="7" t="n"/>
      <c r="H10" s="7" t="n"/>
      <c r="I10" s="7" t="n"/>
      <c r="J10" s="7" t="n"/>
      <c r="K10" s="7" t="n"/>
      <c r="L10" s="7" t="n"/>
      <c r="M10" s="7" t="n"/>
      <c r="N10" s="7" t="n"/>
      <c r="O10" s="7" t="n"/>
      <c r="P10" s="7" t="n"/>
    </row>
    <row r="11">
      <c r="A11" s="7" t="n"/>
      <c r="B11" s="7" t="n"/>
      <c r="C11" s="7" t="n"/>
      <c r="D11" s="7" t="n"/>
      <c r="E11" s="7" t="n"/>
      <c r="F11" s="7" t="n"/>
      <c r="G11" s="7" t="n"/>
      <c r="H11" s="7" t="n"/>
      <c r="I11" s="7" t="n"/>
      <c r="J11" s="7" t="n"/>
      <c r="K11" s="7" t="n"/>
      <c r="L11" s="7" t="n"/>
      <c r="M11" s="7" t="n"/>
      <c r="N11" s="7" t="n"/>
      <c r="O11" s="7" t="n"/>
      <c r="P11" s="7" t="n"/>
    </row>
    <row r="12">
      <c r="A12" s="7" t="n"/>
      <c r="B12" s="7" t="n"/>
      <c r="C12" s="7" t="n"/>
      <c r="D12" s="7" t="n"/>
      <c r="E12" s="7" t="n"/>
      <c r="F12" s="7" t="n"/>
      <c r="G12" s="7" t="n"/>
      <c r="H12" s="7" t="n"/>
      <c r="I12" s="7" t="n"/>
      <c r="J12" s="7" t="n"/>
      <c r="K12" s="7" t="n"/>
      <c r="L12" s="7" t="n"/>
      <c r="M12" s="7" t="n"/>
      <c r="N12" s="7" t="n"/>
      <c r="O12" s="7" t="n"/>
      <c r="P12" s="7" t="n"/>
    </row>
    <row r="13">
      <c r="A13" s="7" t="n"/>
      <c r="B13" s="7" t="n"/>
      <c r="C13" s="7" t="n"/>
      <c r="D13" s="7" t="n"/>
      <c r="E13" s="7" t="n"/>
      <c r="F13" s="7" t="n"/>
      <c r="G13" s="7" t="n"/>
      <c r="H13" s="7" t="n"/>
      <c r="I13" s="7" t="n"/>
      <c r="J13" s="7" t="n"/>
      <c r="K13" s="7" t="n"/>
      <c r="L13" s="7" t="n"/>
      <c r="M13" s="7" t="n"/>
      <c r="N13" s="7" t="n"/>
      <c r="O13" s="7" t="n"/>
      <c r="P13" s="7" t="n"/>
    </row>
    <row r="14">
      <c r="A14" s="7" t="n"/>
      <c r="B14" s="7" t="n"/>
      <c r="C14" s="7" t="n"/>
      <c r="D14" s="7" t="n"/>
      <c r="E14" s="7" t="n"/>
      <c r="F14" s="7" t="n"/>
      <c r="G14" s="7" t="n"/>
      <c r="H14" s="7" t="n"/>
      <c r="I14" s="7" t="n"/>
      <c r="J14" s="7" t="n"/>
      <c r="K14" s="7" t="n"/>
      <c r="L14" s="7" t="n"/>
      <c r="M14" s="7" t="n"/>
      <c r="N14" s="7" t="n"/>
      <c r="O14" s="7" t="n"/>
      <c r="P14" s="7" t="n"/>
    </row>
    <row r="15">
      <c r="A15" s="7" t="n"/>
      <c r="B15" s="7" t="n"/>
      <c r="C15" s="7" t="n"/>
      <c r="D15" s="7" t="n"/>
      <c r="E15" s="7" t="n"/>
      <c r="F15" s="7" t="n"/>
      <c r="G15" s="7" t="n"/>
      <c r="H15" s="7" t="n"/>
      <c r="I15" s="7" t="n"/>
      <c r="J15" s="7" t="n"/>
      <c r="K15" s="7" t="n"/>
      <c r="L15" s="7" t="n"/>
      <c r="M15" s="7" t="n"/>
      <c r="N15" s="7" t="n"/>
      <c r="O15" s="7" t="n"/>
      <c r="P15" s="7" t="n"/>
    </row>
    <row r="16">
      <c r="A16" s="7" t="n"/>
      <c r="B16" s="7" t="n"/>
      <c r="C16" s="7" t="n"/>
      <c r="D16" s="7" t="n"/>
      <c r="E16" s="7" t="n"/>
      <c r="F16" s="7" t="n"/>
      <c r="G16" s="7" t="n"/>
      <c r="H16" s="7" t="n"/>
      <c r="I16" s="7" t="n"/>
      <c r="J16" s="7" t="n"/>
      <c r="K16" s="7" t="n"/>
      <c r="L16" s="7" t="n"/>
      <c r="M16" s="7" t="n"/>
      <c r="N16" s="7" t="n"/>
      <c r="O16" s="7" t="n"/>
      <c r="P16" s="7" t="n"/>
    </row>
    <row r="17">
      <c r="A17" s="7" t="n"/>
      <c r="B17" s="7" t="n"/>
      <c r="C17" s="7" t="n"/>
      <c r="D17" s="7" t="n"/>
      <c r="E17" s="7" t="n"/>
      <c r="F17" s="7" t="n"/>
      <c r="G17" s="7" t="n"/>
      <c r="H17" s="7" t="n"/>
      <c r="I17" s="7" t="n"/>
      <c r="J17" s="7" t="n"/>
      <c r="K17" s="7" t="n"/>
      <c r="L17" s="7" t="n"/>
      <c r="M17" s="7" t="n"/>
      <c r="N17" s="7" t="n"/>
      <c r="O17" s="7" t="n"/>
      <c r="P17" s="7" t="n"/>
    </row>
    <row r="18">
      <c r="A18" s="7" t="n"/>
      <c r="B18" s="7" t="n"/>
      <c r="C18" s="7" t="n"/>
      <c r="D18" s="7" t="n"/>
      <c r="E18" s="7" t="n"/>
      <c r="F18" s="7" t="n"/>
      <c r="G18" s="7" t="n"/>
      <c r="H18" s="7" t="n"/>
      <c r="I18" s="7" t="n"/>
      <c r="J18" s="7" t="n"/>
      <c r="K18" s="7" t="n"/>
      <c r="L18" s="7" t="n"/>
      <c r="M18" s="7" t="n"/>
      <c r="N18" s="7" t="n"/>
      <c r="O18" s="7" t="n"/>
      <c r="P18" s="7" t="n"/>
    </row>
    <row r="19">
      <c r="A19" s="7" t="n"/>
      <c r="B19" s="7" t="n"/>
      <c r="C19" s="7" t="n"/>
      <c r="D19" s="7" t="n"/>
      <c r="E19" s="7" t="n"/>
      <c r="F19" s="7" t="n"/>
      <c r="G19" s="7" t="n"/>
      <c r="H19" s="7" t="n"/>
      <c r="I19" s="7" t="n"/>
      <c r="J19" s="7" t="n"/>
      <c r="K19" s="7" t="n"/>
      <c r="L19" s="7" t="n"/>
      <c r="M19" s="7" t="n"/>
      <c r="N19" s="7" t="n"/>
      <c r="O19" s="7" t="n"/>
      <c r="P19" s="7" t="n"/>
    </row>
    <row r="20">
      <c r="A20" s="7" t="n"/>
      <c r="B20" s="7" t="n"/>
      <c r="C20" s="7" t="n"/>
      <c r="D20" s="7" t="n"/>
      <c r="E20" s="7" t="n"/>
      <c r="F20" s="7" t="n"/>
      <c r="G20" s="7" t="n"/>
      <c r="H20" s="7" t="n"/>
      <c r="I20" s="7" t="n"/>
      <c r="J20" s="7" t="n"/>
      <c r="K20" s="7" t="n"/>
      <c r="L20" s="7" t="n"/>
      <c r="M20" s="7" t="n"/>
      <c r="N20" s="7" t="n"/>
      <c r="O20" s="7" t="n"/>
      <c r="P20" s="7" t="n"/>
    </row>
    <row r="21">
      <c r="A21" s="7" t="n"/>
      <c r="B21" s="7" t="n"/>
      <c r="C21" s="7" t="n"/>
      <c r="D21" s="7" t="n"/>
      <c r="E21" s="7" t="n"/>
      <c r="F21" s="7" t="n"/>
      <c r="G21" s="7" t="n"/>
      <c r="H21" s="7" t="n"/>
      <c r="I21" s="7" t="n"/>
      <c r="J21" s="7" t="n"/>
      <c r="K21" s="7" t="n"/>
      <c r="L21" s="7" t="n"/>
      <c r="M21" s="7" t="n"/>
      <c r="N21" s="7" t="n"/>
      <c r="O21" s="7" t="n"/>
      <c r="P21" s="7" t="n"/>
    </row>
    <row r="22">
      <c r="A22" s="7" t="n"/>
      <c r="B22" s="7" t="n"/>
      <c r="C22" s="7" t="n"/>
      <c r="D22" s="7" t="n"/>
      <c r="E22" s="7" t="n"/>
      <c r="F22" s="7" t="n"/>
      <c r="G22" s="7" t="n"/>
      <c r="H22" s="7" t="n"/>
      <c r="I22" s="7" t="n"/>
      <c r="J22" s="7" t="n"/>
      <c r="K22" s="7" t="n"/>
      <c r="L22" s="7" t="n"/>
      <c r="M22" s="7" t="n"/>
      <c r="N22" s="7" t="n"/>
      <c r="O22" s="7" t="n"/>
      <c r="P22" s="7" t="n"/>
    </row>
    <row r="23">
      <c r="A23" s="7" t="n"/>
      <c r="B23" s="7" t="n"/>
      <c r="C23" s="7" t="n"/>
      <c r="D23" s="7" t="n"/>
      <c r="E23" s="7" t="n"/>
      <c r="F23" s="7" t="n"/>
      <c r="G23" s="7" t="n"/>
      <c r="H23" s="7" t="n"/>
      <c r="I23" s="7" t="n"/>
      <c r="J23" s="7" t="n"/>
      <c r="K23" s="7" t="n"/>
      <c r="L23" s="7" t="n"/>
      <c r="M23" s="7" t="n"/>
      <c r="N23" s="7" t="n"/>
      <c r="O23" s="7" t="n"/>
      <c r="P23" s="7" t="n"/>
    </row>
    <row r="24">
      <c r="A24" s="7" t="n"/>
      <c r="B24" s="7" t="n"/>
      <c r="C24" s="7" t="n"/>
      <c r="D24" s="7" t="n"/>
      <c r="E24" s="7" t="n"/>
      <c r="F24" s="7" t="n"/>
      <c r="G24" s="7" t="n"/>
      <c r="H24" s="7" t="n"/>
      <c r="I24" s="7" t="n"/>
      <c r="J24" s="7" t="n"/>
      <c r="K24" s="7" t="n"/>
      <c r="L24" s="7" t="n"/>
      <c r="M24" s="7" t="n"/>
      <c r="N24" s="7" t="n"/>
      <c r="O24" s="7" t="n"/>
      <c r="P24" s="7" t="n"/>
    </row>
    <row r="25">
      <c r="A25" s="7" t="n"/>
      <c r="B25" s="7" t="n"/>
      <c r="C25" s="7" t="n"/>
      <c r="D25" s="7" t="n"/>
      <c r="E25" s="7" t="n"/>
      <c r="F25" s="7" t="n"/>
      <c r="G25" s="7" t="n"/>
      <c r="H25" s="7" t="n"/>
      <c r="I25" s="7" t="n"/>
      <c r="J25" s="7" t="n"/>
      <c r="K25" s="7" t="n"/>
      <c r="L25" s="7" t="n"/>
      <c r="M25" s="7" t="n"/>
      <c r="N25" s="7" t="n"/>
      <c r="O25" s="7" t="n"/>
      <c r="P25" s="7" t="n"/>
    </row>
    <row r="26">
      <c r="A26" s="7" t="n"/>
      <c r="B26" s="7" t="n"/>
      <c r="C26" s="7" t="n"/>
      <c r="D26" s="7" t="n"/>
      <c r="E26" s="7" t="n"/>
      <c r="F26" s="7" t="n"/>
      <c r="G26" s="7" t="n"/>
      <c r="H26" s="7" t="n"/>
      <c r="I26" s="7" t="n"/>
      <c r="J26" s="7" t="n"/>
      <c r="K26" s="7" t="n"/>
      <c r="L26" s="7" t="n"/>
      <c r="M26" s="7" t="n"/>
      <c r="N26" s="7" t="n"/>
      <c r="O26" s="7" t="n"/>
      <c r="P26" s="7" t="n"/>
    </row>
    <row r="27">
      <c r="A27" s="7" t="n"/>
      <c r="B27" s="7" t="n"/>
      <c r="C27" s="7" t="n"/>
      <c r="D27" s="7" t="n"/>
      <c r="E27" s="7" t="n"/>
      <c r="F27" s="7" t="n"/>
      <c r="G27" s="7" t="n"/>
      <c r="H27" s="7" t="n"/>
      <c r="I27" s="7" t="n"/>
      <c r="J27" s="7" t="n"/>
      <c r="K27" s="7" t="n"/>
      <c r="L27" s="7" t="n"/>
      <c r="M27" s="7" t="n"/>
      <c r="N27" s="7" t="n"/>
      <c r="O27" s="7" t="n"/>
      <c r="P27" s="7" t="n"/>
    </row>
    <row r="28">
      <c r="A28" s="7" t="n"/>
      <c r="B28" s="7" t="n"/>
      <c r="C28" s="7" t="n"/>
      <c r="D28" s="7" t="n"/>
      <c r="E28" s="7" t="n"/>
      <c r="F28" s="7" t="n"/>
      <c r="G28" s="7" t="n"/>
      <c r="H28" s="7" t="n"/>
      <c r="I28" s="7" t="n"/>
      <c r="J28" s="7" t="n"/>
      <c r="K28" s="7" t="n"/>
      <c r="L28" s="7" t="n"/>
      <c r="M28" s="7" t="n"/>
      <c r="N28" s="7" t="n"/>
      <c r="O28" s="7" t="n"/>
      <c r="P28" s="7" t="n"/>
    </row>
    <row r="29">
      <c r="A29" s="7" t="n"/>
      <c r="B29" s="7" t="n"/>
      <c r="C29" s="7" t="n"/>
      <c r="D29" s="7" t="n"/>
      <c r="E29" s="7" t="n"/>
      <c r="F29" s="7" t="n"/>
      <c r="G29" s="7" t="n"/>
      <c r="H29" s="7" t="n"/>
      <c r="I29" s="7" t="n"/>
      <c r="J29" s="7" t="n"/>
      <c r="K29" s="7" t="n"/>
      <c r="L29" s="7" t="n"/>
      <c r="M29" s="7" t="n"/>
      <c r="N29" s="7" t="n"/>
      <c r="O29" s="7" t="n"/>
      <c r="P29" s="7" t="n"/>
    </row>
    <row r="30">
      <c r="A30" s="7" t="n"/>
      <c r="B30" s="7" t="n"/>
      <c r="C30" s="7" t="n"/>
      <c r="D30" s="7" t="n"/>
      <c r="E30" s="7" t="n"/>
      <c r="F30" s="7" t="n"/>
      <c r="G30" s="7" t="n"/>
      <c r="H30" s="7" t="n"/>
      <c r="I30" s="7" t="n"/>
      <c r="J30" s="7" t="n"/>
      <c r="K30" s="7" t="n"/>
      <c r="L30" s="7" t="n"/>
      <c r="M30" s="7" t="n"/>
      <c r="N30" s="7" t="n"/>
      <c r="O30" s="7" t="n"/>
      <c r="P30" s="7" t="n"/>
    </row>
    <row r="31">
      <c r="A31" s="7" t="n"/>
      <c r="B31" s="7" t="n"/>
      <c r="C31" s="7" t="n"/>
      <c r="D31" s="7" t="n"/>
      <c r="E31" s="7" t="n"/>
      <c r="F31" s="7" t="n"/>
      <c r="G31" s="7" t="n"/>
      <c r="H31" s="7" t="n"/>
      <c r="I31" s="7" t="n"/>
      <c r="J31" s="7" t="n"/>
      <c r="K31" s="7" t="n"/>
      <c r="L31" s="7" t="n"/>
      <c r="M31" s="7" t="n"/>
      <c r="N31" s="7" t="n"/>
      <c r="O31" s="7" t="n"/>
      <c r="P31" s="7" t="n"/>
    </row>
    <row r="32">
      <c r="A32" s="7" t="n"/>
      <c r="B32" s="7" t="n"/>
      <c r="C32" s="7" t="n"/>
      <c r="D32" s="7" t="n"/>
      <c r="E32" s="7" t="n"/>
      <c r="F32" s="7" t="n"/>
      <c r="G32" s="7" t="n"/>
      <c r="H32" s="7" t="n"/>
      <c r="I32" s="7" t="n"/>
      <c r="J32" s="7" t="n"/>
      <c r="K32" s="7" t="n"/>
      <c r="L32" s="7" t="n"/>
      <c r="M32" s="7" t="n"/>
      <c r="N32" s="7" t="n"/>
      <c r="O32" s="7" t="n"/>
      <c r="P32" s="7" t="n"/>
    </row>
    <row r="33">
      <c r="A33" s="7" t="n"/>
      <c r="B33" s="7" t="n"/>
      <c r="C33" s="7" t="n"/>
      <c r="D33" s="7" t="n"/>
      <c r="E33" s="7" t="n"/>
      <c r="F33" s="7" t="n"/>
      <c r="G33" s="7" t="n"/>
      <c r="H33" s="7" t="n"/>
      <c r="I33" s="7" t="n"/>
      <c r="J33" s="7" t="n"/>
      <c r="K33" s="7" t="n"/>
      <c r="L33" s="7" t="n"/>
      <c r="M33" s="7" t="n"/>
      <c r="N33" s="7" t="n"/>
      <c r="O33" s="7" t="n"/>
      <c r="P33" s="7" t="n"/>
    </row>
    <row r="34">
      <c r="A34" s="7" t="n"/>
      <c r="B34" s="7" t="n"/>
      <c r="C34" s="7" t="n"/>
      <c r="D34" s="7" t="n"/>
      <c r="E34" s="7" t="n"/>
      <c r="F34" s="7" t="n"/>
      <c r="G34" s="7" t="n"/>
      <c r="H34" s="7" t="n"/>
      <c r="I34" s="7" t="n"/>
      <c r="J34" s="7" t="n"/>
      <c r="K34" s="7" t="n"/>
      <c r="L34" s="7" t="n"/>
      <c r="M34" s="7" t="n"/>
      <c r="N34" s="7" t="n"/>
      <c r="O34" s="7" t="n"/>
      <c r="P34" s="7" t="n"/>
    </row>
    <row r="35">
      <c r="A35" s="7" t="n"/>
      <c r="B35" s="7" t="n"/>
      <c r="C35" s="7" t="n"/>
      <c r="D35" s="7" t="n"/>
      <c r="E35" s="7" t="n"/>
      <c r="F35" s="7" t="n"/>
      <c r="G35" s="7" t="n"/>
      <c r="H35" s="7" t="n"/>
      <c r="I35" s="7" t="n"/>
      <c r="J35" s="7" t="n"/>
      <c r="K35" s="7" t="n"/>
      <c r="L35" s="7" t="n"/>
      <c r="M35" s="7" t="n"/>
      <c r="N35" s="7" t="n"/>
      <c r="O35" s="7" t="n"/>
      <c r="P35" s="7" t="n"/>
    </row>
    <row r="36">
      <c r="A36" s="7" t="n"/>
      <c r="B36" s="7" t="n"/>
      <c r="C36" s="7" t="n"/>
      <c r="D36" s="7" t="n"/>
      <c r="E36" s="7" t="n"/>
      <c r="F36" s="7" t="n"/>
      <c r="G36" s="7" t="n"/>
      <c r="H36" s="7" t="n"/>
      <c r="I36" s="7" t="n"/>
      <c r="J36" s="7" t="n"/>
      <c r="K36" s="7" t="n"/>
      <c r="L36" s="7" t="n"/>
      <c r="M36" s="7" t="n"/>
      <c r="N36" s="7" t="n"/>
      <c r="O36" s="7" t="n"/>
      <c r="P36" s="7" t="n"/>
    </row>
    <row r="37">
      <c r="A37" s="7" t="n"/>
      <c r="B37" s="7" t="n"/>
      <c r="C37" s="7" t="n"/>
      <c r="D37" s="7" t="n"/>
      <c r="E37" s="7" t="n"/>
      <c r="F37" s="7" t="n"/>
      <c r="G37" s="7" t="n"/>
      <c r="H37" s="7" t="n"/>
      <c r="I37" s="7" t="n"/>
      <c r="J37" s="7" t="n"/>
      <c r="K37" s="7" t="n"/>
      <c r="L37" s="7" t="n"/>
      <c r="M37" s="7" t="n"/>
      <c r="N37" s="7" t="n"/>
      <c r="O37" s="7" t="n"/>
      <c r="P37" s="7" t="n"/>
    </row>
    <row r="38">
      <c r="A38" s="7" t="n"/>
      <c r="B38" s="7" t="n"/>
      <c r="C38" s="7" t="n"/>
      <c r="D38" s="7" t="n"/>
      <c r="E38" s="7" t="n"/>
      <c r="F38" s="7" t="n"/>
      <c r="G38" s="7" t="n"/>
      <c r="H38" s="7" t="n"/>
      <c r="I38" s="7" t="n"/>
      <c r="J38" s="7" t="n"/>
      <c r="K38" s="7" t="n"/>
      <c r="L38" s="7" t="n"/>
      <c r="M38" s="7" t="n"/>
      <c r="N38" s="7" t="n"/>
      <c r="O38" s="7" t="n"/>
      <c r="P38" s="7" t="n"/>
    </row>
    <row r="39">
      <c r="A39" s="7" t="n"/>
      <c r="B39" s="7" t="n"/>
      <c r="C39" s="7" t="n"/>
      <c r="D39" s="7" t="n"/>
      <c r="E39" s="7" t="n"/>
      <c r="F39" s="7" t="n"/>
      <c r="G39" s="7" t="n"/>
      <c r="H39" s="7" t="n"/>
      <c r="I39" s="7" t="n"/>
      <c r="J39" s="7" t="n"/>
      <c r="K39" s="7" t="n"/>
      <c r="L39" s="7" t="n"/>
      <c r="M39" s="7" t="n"/>
      <c r="N39" s="7" t="n"/>
      <c r="O39" s="7" t="n"/>
      <c r="P39" s="7" t="n"/>
    </row>
    <row r="40">
      <c r="A40" s="7" t="n"/>
      <c r="B40" s="7" t="n"/>
      <c r="C40" s="7" t="n"/>
      <c r="D40" s="7" t="n"/>
      <c r="E40" s="7" t="n"/>
      <c r="F40" s="7" t="n"/>
      <c r="G40" s="7" t="n"/>
      <c r="H40" s="7" t="n"/>
      <c r="I40" s="7" t="n"/>
      <c r="J40" s="7" t="n"/>
      <c r="K40" s="7" t="n"/>
      <c r="L40" s="7" t="n"/>
      <c r="M40" s="7" t="n"/>
      <c r="N40" s="7" t="n"/>
      <c r="O40" s="7" t="n"/>
      <c r="P40" s="7" t="n"/>
    </row>
    <row r="41">
      <c r="A41" s="7" t="n"/>
      <c r="B41" s="7" t="n"/>
      <c r="C41" s="7" t="n"/>
      <c r="D41" s="7" t="n"/>
      <c r="E41" s="7" t="n"/>
      <c r="F41" s="7" t="n"/>
      <c r="G41" s="7" t="n"/>
      <c r="H41" s="7" t="n"/>
      <c r="I41" s="7" t="n"/>
      <c r="J41" s="7" t="n"/>
      <c r="K41" s="7" t="n"/>
      <c r="L41" s="7" t="n"/>
      <c r="M41" s="7" t="n"/>
      <c r="N41" s="7" t="n"/>
      <c r="O41" s="7" t="n"/>
      <c r="P41" s="7" t="n"/>
    </row>
    <row r="42">
      <c r="A42" s="7" t="n"/>
      <c r="B42" s="7" t="n"/>
      <c r="C42" s="7" t="n"/>
      <c r="D42" s="7" t="n"/>
      <c r="E42" s="7" t="n"/>
      <c r="F42" s="7" t="n"/>
      <c r="G42" s="7" t="n"/>
      <c r="H42" s="7" t="n"/>
      <c r="I42" s="7" t="n"/>
      <c r="J42" s="7" t="n"/>
      <c r="K42" s="7" t="n"/>
      <c r="L42" s="7" t="n"/>
      <c r="M42" s="7" t="n"/>
      <c r="N42" s="7" t="n"/>
      <c r="O42" s="7" t="n"/>
      <c r="P42" s="7" t="n"/>
    </row>
    <row r="43">
      <c r="A43" s="7" t="n"/>
      <c r="B43" s="7" t="n"/>
      <c r="C43" s="7" t="n"/>
      <c r="D43" s="7" t="n"/>
      <c r="E43" s="7" t="n"/>
      <c r="F43" s="7" t="n"/>
      <c r="G43" s="7" t="n"/>
      <c r="H43" s="7" t="n"/>
      <c r="I43" s="7" t="n"/>
      <c r="J43" s="7" t="n"/>
      <c r="K43" s="7" t="n"/>
      <c r="L43" s="7" t="n"/>
      <c r="M43" s="7" t="n"/>
      <c r="N43" s="7" t="n"/>
      <c r="O43" s="7" t="n"/>
      <c r="P43" s="7" t="n"/>
    </row>
    <row r="44">
      <c r="A44" s="7" t="n"/>
      <c r="B44" s="7" t="n"/>
      <c r="C44" s="7" t="n"/>
      <c r="D44" s="7" t="n"/>
      <c r="E44" s="7" t="n"/>
      <c r="F44" s="7" t="n"/>
      <c r="G44" s="7" t="n"/>
      <c r="H44" s="7" t="n"/>
      <c r="I44" s="7" t="n"/>
      <c r="J44" s="7" t="n"/>
      <c r="K44" s="7" t="n"/>
      <c r="L44" s="7" t="n"/>
      <c r="M44" s="7" t="n"/>
      <c r="N44" s="7" t="n"/>
      <c r="O44" s="7" t="n"/>
      <c r="P44" s="7" t="n"/>
    </row>
    <row r="45">
      <c r="A45" s="7" t="n"/>
      <c r="B45" s="7" t="n"/>
      <c r="C45" s="7" t="n"/>
      <c r="D45" s="7" t="n"/>
      <c r="E45" s="7" t="n"/>
      <c r="F45" s="7" t="n"/>
      <c r="G45" s="7" t="n"/>
      <c r="H45" s="7" t="n"/>
      <c r="I45" s="7" t="n"/>
      <c r="J45" s="7" t="n"/>
      <c r="K45" s="7" t="n"/>
      <c r="L45" s="7" t="n"/>
      <c r="M45" s="7" t="n"/>
      <c r="N45" s="7" t="n"/>
      <c r="O45" s="7" t="n"/>
      <c r="P45" s="7" t="n"/>
    </row>
    <row r="46">
      <c r="A46" s="7" t="n"/>
      <c r="B46" s="7" t="n"/>
      <c r="C46" s="7" t="n"/>
      <c r="D46" s="7" t="n"/>
      <c r="E46" s="7" t="n"/>
      <c r="F46" s="7" t="n"/>
      <c r="G46" s="7" t="n"/>
      <c r="H46" s="7" t="n"/>
      <c r="I46" s="7" t="n"/>
      <c r="J46" s="7" t="n"/>
      <c r="K46" s="7" t="n"/>
      <c r="L46" s="7" t="n"/>
      <c r="M46" s="7" t="n"/>
      <c r="N46" s="7" t="n"/>
      <c r="O46" s="7" t="n"/>
      <c r="P46" s="7" t="n"/>
    </row>
    <row r="47">
      <c r="A47" s="7" t="n"/>
      <c r="B47" s="7" t="n"/>
      <c r="C47" s="7" t="n"/>
      <c r="D47" s="7" t="n"/>
      <c r="E47" s="7" t="n"/>
      <c r="F47" s="7" t="n"/>
      <c r="G47" s="7" t="n"/>
      <c r="H47" s="7" t="n"/>
      <c r="I47" s="7" t="n"/>
      <c r="J47" s="7" t="n"/>
      <c r="K47" s="7" t="n"/>
      <c r="L47" s="7" t="n"/>
      <c r="M47" s="7" t="n"/>
      <c r="N47" s="7" t="n"/>
      <c r="O47" s="7" t="n"/>
      <c r="P47" s="7" t="n"/>
    </row>
    <row r="48">
      <c r="A48" s="7" t="n"/>
      <c r="B48" s="7" t="n"/>
      <c r="C48" s="7" t="n"/>
      <c r="D48" s="7" t="n"/>
      <c r="E48" s="7" t="n"/>
      <c r="F48" s="7" t="n"/>
      <c r="G48" s="7" t="n"/>
      <c r="H48" s="7" t="n"/>
      <c r="I48" s="7" t="n"/>
      <c r="J48" s="7" t="n"/>
      <c r="K48" s="7" t="n"/>
      <c r="L48" s="7" t="n"/>
      <c r="M48" s="7" t="n"/>
      <c r="N48" s="7" t="n"/>
      <c r="O48" s="7" t="n"/>
      <c r="P48" s="7" t="n"/>
    </row>
    <row r="49">
      <c r="A49" s="7" t="n"/>
      <c r="B49" s="7" t="n"/>
      <c r="C49" s="7" t="n"/>
      <c r="D49" s="7" t="n"/>
      <c r="E49" s="7" t="n"/>
      <c r="F49" s="7" t="n"/>
      <c r="G49" s="7" t="n"/>
      <c r="H49" s="7" t="n"/>
      <c r="I49" s="7" t="n"/>
      <c r="J49" s="7" t="n"/>
      <c r="K49" s="7" t="n"/>
      <c r="L49" s="7" t="n"/>
      <c r="M49" s="7" t="n"/>
      <c r="N49" s="7" t="n"/>
      <c r="O49" s="7" t="n"/>
      <c r="P49" s="7" t="n"/>
    </row>
    <row r="50">
      <c r="A50" s="7" t="n"/>
      <c r="B50" s="7" t="n"/>
      <c r="C50" s="7" t="n"/>
      <c r="D50" s="7" t="n"/>
      <c r="E50" s="7" t="n"/>
      <c r="F50" s="7" t="n"/>
      <c r="G50" s="7" t="n"/>
      <c r="H50" s="7" t="n"/>
      <c r="I50" s="7" t="n"/>
      <c r="J50" s="7" t="n"/>
      <c r="K50" s="7" t="n"/>
      <c r="L50" s="7" t="n"/>
      <c r="M50" s="7" t="n"/>
      <c r="N50" s="7" t="n"/>
      <c r="O50" s="7" t="n"/>
      <c r="P50" s="7" t="n"/>
    </row>
    <row r="51">
      <c r="A51" s="7" t="n"/>
      <c r="B51" s="7" t="n"/>
      <c r="C51" s="7" t="n"/>
      <c r="D51" s="7" t="n"/>
      <c r="E51" s="7" t="n"/>
      <c r="F51" s="7" t="n"/>
      <c r="G51" s="7" t="n"/>
      <c r="H51" s="7" t="n"/>
      <c r="I51" s="7" t="n"/>
      <c r="J51" s="7" t="n"/>
      <c r="K51" s="7" t="n"/>
      <c r="L51" s="7" t="n"/>
      <c r="M51" s="7" t="n"/>
      <c r="N51" s="7" t="n"/>
      <c r="O51" s="7" t="n"/>
      <c r="P51" s="7" t="n"/>
    </row>
    <row r="52">
      <c r="A52" s="7" t="n"/>
      <c r="B52" s="7" t="n"/>
      <c r="C52" s="7" t="n"/>
      <c r="D52" s="7" t="n"/>
      <c r="E52" s="7" t="n"/>
      <c r="F52" s="7" t="n"/>
      <c r="G52" s="7" t="n"/>
      <c r="H52" s="7" t="n"/>
      <c r="I52" s="7" t="n"/>
      <c r="J52" s="7" t="n"/>
      <c r="K52" s="7" t="n"/>
      <c r="L52" s="7" t="n"/>
      <c r="M52" s="7" t="n"/>
      <c r="N52" s="7" t="n"/>
      <c r="O52" s="7" t="n"/>
      <c r="P52" s="7" t="n"/>
    </row>
    <row r="53">
      <c r="A53" s="7" t="n"/>
      <c r="B53" s="7" t="n"/>
      <c r="C53" s="7" t="n"/>
      <c r="D53" s="7" t="n"/>
      <c r="E53" s="7" t="n"/>
      <c r="F53" s="7" t="n"/>
      <c r="G53" s="7" t="n"/>
      <c r="H53" s="7" t="n"/>
      <c r="I53" s="7" t="n"/>
      <c r="J53" s="7" t="n"/>
      <c r="K53" s="7" t="n"/>
      <c r="L53" s="7" t="n"/>
      <c r="M53" s="7" t="n"/>
      <c r="N53" s="7" t="n"/>
      <c r="O53" s="7" t="n"/>
      <c r="P53" s="7" t="n"/>
    </row>
    <row r="54">
      <c r="A54" s="7" t="n"/>
      <c r="B54" s="7" t="n"/>
      <c r="C54" s="7" t="n"/>
      <c r="D54" s="7" t="n"/>
      <c r="E54" s="7" t="n"/>
      <c r="F54" s="7" t="n"/>
      <c r="G54" s="7" t="n"/>
      <c r="H54" s="7" t="n"/>
      <c r="I54" s="7" t="n"/>
      <c r="J54" s="7" t="n"/>
      <c r="K54" s="7" t="n"/>
      <c r="L54" s="7" t="n"/>
      <c r="M54" s="7" t="n"/>
      <c r="N54" s="7" t="n"/>
      <c r="O54" s="7" t="n"/>
      <c r="P54" s="7" t="n"/>
    </row>
    <row r="55">
      <c r="A55" s="7" t="n"/>
      <c r="B55" s="7" t="n"/>
      <c r="C55" s="7" t="n"/>
      <c r="D55" s="7" t="n"/>
      <c r="E55" s="7" t="n"/>
      <c r="F55" s="7" t="n"/>
      <c r="G55" s="7" t="n"/>
      <c r="H55" s="7" t="n"/>
      <c r="I55" s="7" t="n"/>
      <c r="J55" s="7" t="n"/>
      <c r="K55" s="7" t="n"/>
      <c r="L55" s="7" t="n"/>
      <c r="M55" s="7" t="n"/>
      <c r="N55" s="7" t="n"/>
      <c r="O55" s="7" t="n"/>
      <c r="P55" s="7" t="n"/>
    </row>
    <row r="56">
      <c r="A56" s="7" t="n"/>
      <c r="B56" s="7" t="n"/>
      <c r="C56" s="7" t="n"/>
      <c r="D56" s="7" t="n"/>
      <c r="E56" s="7" t="n"/>
      <c r="F56" s="7" t="n"/>
      <c r="G56" s="7" t="n"/>
      <c r="H56" s="7" t="n"/>
      <c r="I56" s="7" t="n"/>
      <c r="J56" s="7" t="n"/>
      <c r="K56" s="7" t="n"/>
      <c r="L56" s="7" t="n"/>
      <c r="M56" s="7" t="n"/>
      <c r="N56" s="7" t="n"/>
      <c r="O56" s="7" t="n"/>
      <c r="P56" s="7" t="n"/>
    </row>
    <row r="57">
      <c r="A57" s="7" t="n"/>
      <c r="B57" s="7" t="n"/>
      <c r="C57" s="7" t="n"/>
      <c r="D57" s="7" t="n"/>
      <c r="E57" s="7" t="n"/>
      <c r="F57" s="7" t="n"/>
      <c r="G57" s="7" t="n"/>
      <c r="H57" s="7" t="n"/>
      <c r="I57" s="7" t="n"/>
      <c r="J57" s="7" t="n"/>
      <c r="K57" s="7" t="n"/>
      <c r="L57" s="7" t="n"/>
      <c r="M57" s="7" t="n"/>
      <c r="N57" s="7" t="n"/>
      <c r="O57" s="7" t="n"/>
      <c r="P57" s="7" t="n"/>
    </row>
    <row r="58">
      <c r="A58" s="7" t="n"/>
      <c r="B58" s="7" t="n"/>
      <c r="C58" s="7" t="n"/>
      <c r="D58" s="7" t="n"/>
      <c r="E58" s="7" t="n"/>
      <c r="F58" s="7" t="n"/>
      <c r="G58" s="7" t="n"/>
      <c r="H58" s="7" t="n"/>
      <c r="I58" s="7" t="n"/>
      <c r="J58" s="7" t="n"/>
      <c r="K58" s="7" t="n"/>
      <c r="L58" s="7" t="n"/>
      <c r="M58" s="7" t="n"/>
      <c r="N58" s="7" t="n"/>
      <c r="O58" s="7" t="n"/>
      <c r="P58" s="7" t="n"/>
    </row>
    <row r="59">
      <c r="A59" s="7" t="n"/>
      <c r="B59" s="7" t="n"/>
      <c r="C59" s="7" t="n"/>
      <c r="D59" s="7" t="n"/>
      <c r="E59" s="7" t="n"/>
      <c r="F59" s="7" t="n"/>
      <c r="G59" s="7" t="n"/>
      <c r="H59" s="7" t="n"/>
      <c r="I59" s="7" t="n"/>
      <c r="J59" s="7" t="n"/>
      <c r="K59" s="7" t="n"/>
      <c r="L59" s="7" t="n"/>
      <c r="M59" s="7" t="n"/>
      <c r="N59" s="7" t="n"/>
      <c r="O59" s="7" t="n"/>
      <c r="P59" s="7" t="n"/>
    </row>
    <row r="60">
      <c r="A60" s="7" t="n"/>
      <c r="B60" s="7" t="n"/>
      <c r="C60" s="7" t="n"/>
      <c r="D60" s="7" t="n"/>
      <c r="E60" s="7" t="n"/>
      <c r="F60" s="7" t="n"/>
      <c r="G60" s="7" t="n"/>
      <c r="H60" s="7" t="n"/>
      <c r="I60" s="7" t="n"/>
      <c r="J60" s="7" t="n"/>
      <c r="K60" s="7" t="n"/>
      <c r="L60" s="7" t="n"/>
      <c r="M60" s="7" t="n"/>
      <c r="N60" s="7" t="n"/>
      <c r="O60" s="7" t="n"/>
      <c r="P60" s="7" t="n"/>
    </row>
    <row r="61">
      <c r="A61" s="7" t="n"/>
      <c r="B61" s="7" t="n"/>
      <c r="C61" s="7" t="n"/>
      <c r="D61" s="7" t="n"/>
      <c r="E61" s="7" t="n"/>
      <c r="F61" s="7" t="n"/>
      <c r="G61" s="7" t="n"/>
      <c r="H61" s="7" t="n"/>
      <c r="I61" s="7" t="n"/>
      <c r="J61" s="7" t="n"/>
      <c r="K61" s="7" t="n"/>
      <c r="L61" s="7" t="n"/>
      <c r="M61" s="7" t="n"/>
      <c r="N61" s="7" t="n"/>
      <c r="O61" s="7" t="n"/>
      <c r="P61" s="7" t="n"/>
    </row>
    <row r="62">
      <c r="A62" s="7" t="n"/>
      <c r="B62" s="7" t="n"/>
      <c r="C62" s="7" t="n"/>
      <c r="D62" s="7" t="n"/>
      <c r="E62" s="7" t="n"/>
      <c r="F62" s="7" t="n"/>
      <c r="G62" s="7" t="n"/>
      <c r="H62" s="7" t="n"/>
      <c r="I62" s="7" t="n"/>
      <c r="J62" s="7" t="n"/>
      <c r="K62" s="7" t="n"/>
      <c r="L62" s="7" t="n"/>
      <c r="M62" s="7" t="n"/>
      <c r="N62" s="7" t="n"/>
      <c r="O62" s="7" t="n"/>
      <c r="P62" s="7" t="n"/>
    </row>
    <row r="63">
      <c r="A63" s="7" t="n"/>
      <c r="B63" s="7" t="n"/>
      <c r="C63" s="7" t="n"/>
      <c r="D63" s="7" t="n"/>
      <c r="E63" s="7" t="n"/>
      <c r="F63" s="7" t="n"/>
      <c r="G63" s="7" t="n"/>
      <c r="H63" s="7" t="n"/>
      <c r="I63" s="7" t="n"/>
      <c r="J63" s="7" t="n"/>
      <c r="K63" s="7" t="n"/>
      <c r="L63" s="7" t="n"/>
      <c r="M63" s="7" t="n"/>
      <c r="N63" s="7" t="n"/>
      <c r="O63" s="7" t="n"/>
      <c r="P63" s="7" t="n"/>
    </row>
    <row r="64">
      <c r="A64" s="7" t="n"/>
      <c r="B64" s="7" t="n"/>
      <c r="C64" s="7" t="n"/>
      <c r="D64" s="7" t="n"/>
      <c r="E64" s="7" t="n"/>
      <c r="F64" s="7" t="n"/>
      <c r="G64" s="7" t="n"/>
      <c r="H64" s="7" t="n"/>
      <c r="I64" s="7" t="n"/>
      <c r="J64" s="7" t="n"/>
      <c r="K64" s="7" t="n"/>
      <c r="L64" s="7" t="n"/>
      <c r="M64" s="7" t="n"/>
      <c r="N64" s="7" t="n"/>
      <c r="O64" s="7" t="n"/>
      <c r="P64" s="7" t="n"/>
    </row>
    <row r="65">
      <c r="A65" s="7" t="n"/>
      <c r="B65" s="7" t="n"/>
      <c r="C65" s="7" t="n"/>
      <c r="D65" s="7" t="n"/>
      <c r="E65" s="7" t="n"/>
      <c r="F65" s="7" t="n"/>
      <c r="G65" s="7" t="n"/>
      <c r="H65" s="7" t="n"/>
      <c r="I65" s="7" t="n"/>
      <c r="J65" s="7" t="n"/>
      <c r="K65" s="7" t="n"/>
      <c r="L65" s="7" t="n"/>
      <c r="M65" s="7" t="n"/>
      <c r="N65" s="7" t="n"/>
      <c r="O65" s="7" t="n"/>
      <c r="P65" s="7" t="n"/>
    </row>
    <row r="66">
      <c r="A66" s="7" t="n"/>
      <c r="B66" s="7" t="n"/>
      <c r="C66" s="7" t="n"/>
      <c r="D66" s="7" t="n"/>
      <c r="E66" s="7" t="n"/>
      <c r="F66" s="7" t="n"/>
      <c r="G66" s="7" t="n"/>
      <c r="H66" s="7" t="n"/>
      <c r="I66" s="7" t="n"/>
      <c r="J66" s="7" t="n"/>
      <c r="K66" s="7" t="n"/>
      <c r="L66" s="7" t="n"/>
      <c r="M66" s="7" t="n"/>
      <c r="N66" s="7" t="n"/>
      <c r="O66" s="7" t="n"/>
      <c r="P66" s="7" t="n"/>
    </row>
    <row r="67">
      <c r="A67" s="7" t="n"/>
      <c r="B67" s="7" t="n"/>
      <c r="C67" s="7" t="n"/>
      <c r="D67" s="7" t="n"/>
      <c r="E67" s="7" t="n"/>
      <c r="F67" s="7" t="n"/>
      <c r="G67" s="7" t="n"/>
      <c r="H67" s="7" t="n"/>
      <c r="I67" s="7" t="n"/>
      <c r="J67" s="7" t="n"/>
      <c r="K67" s="7" t="n"/>
      <c r="L67" s="7" t="n"/>
      <c r="M67" s="7" t="n"/>
      <c r="N67" s="7" t="n"/>
      <c r="O67" s="7" t="n"/>
      <c r="P67" s="7" t="n"/>
    </row>
    <row r="68">
      <c r="A68" s="7" t="n"/>
      <c r="B68" s="7" t="n"/>
      <c r="C68" s="7" t="n"/>
      <c r="D68" s="7" t="n"/>
      <c r="E68" s="7" t="n"/>
      <c r="F68" s="7" t="n"/>
      <c r="G68" s="7" t="n"/>
      <c r="H68" s="7" t="n"/>
      <c r="I68" s="7" t="n"/>
      <c r="J68" s="7" t="n"/>
      <c r="K68" s="7" t="n"/>
      <c r="L68" s="7" t="n"/>
      <c r="M68" s="7" t="n"/>
      <c r="N68" s="7" t="n"/>
      <c r="O68" s="7" t="n"/>
      <c r="P68" s="7" t="n"/>
    </row>
    <row r="69">
      <c r="A69" s="7" t="n"/>
      <c r="B69" s="7" t="n"/>
      <c r="C69" s="7" t="n"/>
      <c r="D69" s="7" t="n"/>
      <c r="E69" s="7" t="n"/>
      <c r="F69" s="7" t="n"/>
      <c r="G69" s="7" t="n"/>
      <c r="H69" s="7" t="n"/>
      <c r="I69" s="7" t="n"/>
      <c r="J69" s="7" t="n"/>
      <c r="K69" s="7" t="n"/>
      <c r="L69" s="7" t="n"/>
      <c r="M69" s="7" t="n"/>
      <c r="N69" s="7" t="n"/>
      <c r="O69" s="7" t="n"/>
      <c r="P69" s="7" t="n"/>
    </row>
    <row r="70">
      <c r="A70" s="7" t="n"/>
      <c r="B70" s="7" t="n"/>
      <c r="C70" s="7" t="n"/>
      <c r="D70" s="7" t="n"/>
      <c r="E70" s="7" t="n"/>
      <c r="F70" s="7" t="n"/>
      <c r="G70" s="7" t="n"/>
      <c r="H70" s="7" t="n"/>
      <c r="I70" s="7" t="n"/>
      <c r="J70" s="7" t="n"/>
      <c r="K70" s="7" t="n"/>
      <c r="L70" s="7" t="n"/>
      <c r="M70" s="7" t="n"/>
      <c r="N70" s="7" t="n"/>
      <c r="O70" s="7" t="n"/>
      <c r="P70" s="7" t="n"/>
    </row>
    <row r="71">
      <c r="A71" s="7" t="n"/>
      <c r="B71" s="7" t="n"/>
      <c r="C71" s="7" t="n"/>
      <c r="D71" s="7" t="n"/>
      <c r="E71" s="7" t="n"/>
      <c r="F71" s="7" t="n"/>
      <c r="G71" s="7" t="n"/>
      <c r="H71" s="7" t="n"/>
      <c r="I71" s="7" t="n"/>
      <c r="J71" s="7" t="n"/>
      <c r="K71" s="7" t="n"/>
      <c r="L71" s="7" t="n"/>
      <c r="M71" s="7" t="n"/>
      <c r="N71" s="7" t="n"/>
      <c r="O71" s="7" t="n"/>
      <c r="P71" s="7" t="n"/>
    </row>
    <row r="72">
      <c r="A72" s="7" t="n"/>
      <c r="B72" s="7" t="n"/>
      <c r="C72" s="7" t="n"/>
      <c r="D72" s="7" t="n"/>
      <c r="E72" s="7" t="n"/>
      <c r="F72" s="7" t="n"/>
      <c r="G72" s="7" t="n"/>
      <c r="H72" s="7" t="n"/>
      <c r="I72" s="7" t="n"/>
      <c r="J72" s="7" t="n"/>
      <c r="K72" s="7" t="n"/>
      <c r="L72" s="7" t="n"/>
      <c r="M72" s="7" t="n"/>
      <c r="N72" s="7" t="n"/>
      <c r="O72" s="7" t="n"/>
      <c r="P72" s="7" t="n"/>
    </row>
    <row r="73">
      <c r="A73" s="7" t="n"/>
      <c r="B73" s="7" t="n"/>
      <c r="C73" s="7" t="n"/>
      <c r="D73" s="7" t="n"/>
      <c r="E73" s="7" t="n"/>
      <c r="F73" s="7" t="n"/>
      <c r="G73" s="7" t="n"/>
      <c r="H73" s="7" t="n"/>
      <c r="I73" s="7" t="n"/>
      <c r="J73" s="7" t="n"/>
      <c r="K73" s="7" t="n"/>
      <c r="L73" s="7" t="n"/>
      <c r="M73" s="7" t="n"/>
      <c r="N73" s="7" t="n"/>
      <c r="O73" s="7" t="n"/>
      <c r="P73" s="7" t="n"/>
    </row>
    <row r="74">
      <c r="A74" s="7" t="n"/>
      <c r="B74" s="7" t="n"/>
      <c r="C74" s="7" t="n"/>
      <c r="D74" s="7" t="n"/>
      <c r="E74" s="7" t="n"/>
      <c r="F74" s="7" t="n"/>
      <c r="G74" s="7" t="n"/>
      <c r="H74" s="7" t="n"/>
      <c r="I74" s="7" t="n"/>
      <c r="J74" s="7" t="n"/>
      <c r="K74" s="7" t="n"/>
      <c r="L74" s="7" t="n"/>
      <c r="M74" s="7" t="n"/>
      <c r="N74" s="7" t="n"/>
      <c r="O74" s="7" t="n"/>
      <c r="P74" s="7" t="n"/>
    </row>
    <row r="75">
      <c r="A75" s="7" t="n"/>
      <c r="B75" s="7" t="n"/>
      <c r="C75" s="7" t="n"/>
      <c r="D75" s="7" t="n"/>
      <c r="E75" s="7" t="n"/>
      <c r="F75" s="7" t="n"/>
      <c r="G75" s="7" t="n"/>
      <c r="H75" s="7" t="n"/>
      <c r="I75" s="7" t="n"/>
      <c r="J75" s="7" t="n"/>
      <c r="K75" s="7" t="n"/>
      <c r="L75" s="7" t="n"/>
      <c r="M75" s="7" t="n"/>
      <c r="N75" s="7" t="n"/>
      <c r="O75" s="7" t="n"/>
      <c r="P75" s="7" t="n"/>
    </row>
    <row r="76">
      <c r="A76" s="7" t="n"/>
      <c r="B76" s="7" t="n"/>
      <c r="C76" s="7" t="n"/>
      <c r="D76" s="7" t="n"/>
      <c r="E76" s="7" t="n"/>
      <c r="F76" s="7" t="n"/>
      <c r="G76" s="7" t="n"/>
      <c r="H76" s="7" t="n"/>
      <c r="I76" s="7" t="n"/>
      <c r="J76" s="7" t="n"/>
      <c r="K76" s="7" t="n"/>
      <c r="L76" s="7" t="n"/>
      <c r="M76" s="7" t="n"/>
      <c r="N76" s="7" t="n"/>
      <c r="O76" s="7" t="n"/>
      <c r="P76" s="7" t="n"/>
    </row>
    <row r="77">
      <c r="A77" s="7" t="n"/>
      <c r="B77" s="7" t="n"/>
      <c r="C77" s="7" t="n"/>
      <c r="D77" s="7" t="n"/>
      <c r="E77" s="7" t="n"/>
      <c r="F77" s="7" t="n"/>
      <c r="G77" s="7" t="n"/>
      <c r="H77" s="7" t="n"/>
      <c r="I77" s="7" t="n"/>
      <c r="J77" s="7" t="n"/>
      <c r="K77" s="7" t="n"/>
      <c r="L77" s="7" t="n"/>
      <c r="M77" s="7" t="n"/>
      <c r="N77" s="7" t="n"/>
      <c r="O77" s="7" t="n"/>
      <c r="P77" s="7" t="n"/>
    </row>
    <row r="78">
      <c r="A78" s="7" t="n"/>
      <c r="B78" s="7" t="n"/>
      <c r="C78" s="7" t="n"/>
      <c r="D78" s="7" t="n"/>
      <c r="E78" s="7" t="n"/>
      <c r="F78" s="7" t="n"/>
      <c r="G78" s="7" t="n"/>
      <c r="H78" s="7" t="n"/>
      <c r="I78" s="7" t="n"/>
      <c r="J78" s="7" t="n"/>
      <c r="K78" s="7" t="n"/>
      <c r="L78" s="7" t="n"/>
      <c r="M78" s="7" t="n"/>
      <c r="N78" s="7" t="n"/>
      <c r="O78" s="7" t="n"/>
      <c r="P78" s="7" t="n"/>
    </row>
    <row r="79">
      <c r="A79" s="7" t="n"/>
      <c r="B79" s="7" t="n"/>
      <c r="C79" s="7" t="n"/>
      <c r="D79" s="7" t="n"/>
      <c r="E79" s="7" t="n"/>
      <c r="F79" s="7" t="n"/>
      <c r="G79" s="7" t="n"/>
      <c r="H79" s="7" t="n"/>
      <c r="I79" s="7" t="n"/>
      <c r="J79" s="7" t="n"/>
      <c r="K79" s="7" t="n"/>
      <c r="L79" s="7" t="n"/>
      <c r="M79" s="7" t="n"/>
      <c r="N79" s="7" t="n"/>
      <c r="O79" s="7" t="n"/>
      <c r="P79" s="7" t="n"/>
    </row>
    <row r="80">
      <c r="A80" s="7" t="n"/>
      <c r="B80" s="7" t="n"/>
      <c r="C80" s="7" t="n"/>
      <c r="D80" s="7" t="n"/>
      <c r="E80" s="7" t="n"/>
      <c r="F80" s="7" t="n"/>
      <c r="G80" s="7" t="n"/>
      <c r="H80" s="7" t="n"/>
      <c r="I80" s="7" t="n"/>
      <c r="J80" s="7" t="n"/>
      <c r="K80" s="7" t="n"/>
      <c r="L80" s="7" t="n"/>
      <c r="M80" s="7" t="n"/>
      <c r="N80" s="7" t="n"/>
      <c r="O80" s="7" t="n"/>
      <c r="P80" s="7" t="n"/>
    </row>
    <row r="81">
      <c r="A81" s="7" t="n"/>
      <c r="B81" s="7" t="n"/>
      <c r="C81" s="7" t="n"/>
      <c r="D81" s="7" t="n"/>
      <c r="E81" s="7" t="n"/>
      <c r="F81" s="7" t="n"/>
      <c r="G81" s="7" t="n"/>
      <c r="H81" s="7" t="n"/>
      <c r="I81" s="7" t="n"/>
      <c r="J81" s="7" t="n"/>
      <c r="K81" s="7" t="n"/>
      <c r="L81" s="7" t="n"/>
      <c r="M81" s="7" t="n"/>
      <c r="N81" s="7" t="n"/>
      <c r="O81" s="7" t="n"/>
      <c r="P81" s="7" t="n"/>
    </row>
    <row r="82">
      <c r="A82" s="7" t="n"/>
      <c r="B82" s="7" t="n"/>
      <c r="C82" s="7" t="n"/>
      <c r="D82" s="7" t="n"/>
      <c r="E82" s="7" t="n"/>
      <c r="F82" s="7" t="n"/>
      <c r="G82" s="7" t="n"/>
      <c r="H82" s="7" t="n"/>
      <c r="I82" s="7" t="n"/>
      <c r="J82" s="7" t="n"/>
      <c r="K82" s="7" t="n"/>
      <c r="L82" s="7" t="n"/>
      <c r="M82" s="7" t="n"/>
      <c r="N82" s="7" t="n"/>
      <c r="O82" s="7" t="n"/>
      <c r="P82" s="7" t="n"/>
    </row>
    <row r="83">
      <c r="A83" s="7" t="n"/>
      <c r="B83" s="7" t="n"/>
      <c r="C83" s="7" t="n"/>
      <c r="D83" s="7" t="n"/>
      <c r="E83" s="7" t="n"/>
      <c r="F83" s="7" t="n"/>
      <c r="G83" s="7" t="n"/>
      <c r="H83" s="7" t="n"/>
      <c r="I83" s="7" t="n"/>
      <c r="J83" s="7" t="n"/>
      <c r="K83" s="7" t="n"/>
      <c r="L83" s="7" t="n"/>
      <c r="M83" s="7" t="n"/>
      <c r="N83" s="7" t="n"/>
      <c r="O83" s="7" t="n"/>
      <c r="P83" s="7" t="n"/>
    </row>
    <row r="84">
      <c r="A84" s="7" t="n"/>
      <c r="B84" s="7" t="n"/>
      <c r="C84" s="7" t="n"/>
      <c r="D84" s="7" t="n"/>
      <c r="E84" s="7" t="n"/>
      <c r="F84" s="7" t="n"/>
      <c r="G84" s="7" t="n"/>
      <c r="H84" s="7" t="n"/>
      <c r="I84" s="7" t="n"/>
      <c r="J84" s="7" t="n"/>
      <c r="K84" s="7" t="n"/>
      <c r="L84" s="7" t="n"/>
      <c r="M84" s="7" t="n"/>
      <c r="N84" s="7" t="n"/>
      <c r="O84" s="7" t="n"/>
      <c r="P84" s="7" t="n"/>
    </row>
    <row r="85">
      <c r="A85" s="7" t="n"/>
      <c r="B85" s="7" t="n"/>
      <c r="C85" s="7" t="n"/>
      <c r="D85" s="7" t="n"/>
      <c r="E85" s="7" t="n"/>
      <c r="F85" s="7" t="n"/>
      <c r="G85" s="7" t="n"/>
      <c r="H85" s="7" t="n"/>
      <c r="I85" s="7" t="n"/>
      <c r="J85" s="7" t="n"/>
      <c r="K85" s="7" t="n"/>
      <c r="L85" s="7" t="n"/>
      <c r="M85" s="7" t="n"/>
      <c r="N85" s="7" t="n"/>
      <c r="O85" s="7" t="n"/>
      <c r="P85" s="7" t="n"/>
    </row>
    <row r="86">
      <c r="A86" s="7" t="n"/>
      <c r="B86" s="7" t="n"/>
      <c r="C86" s="7" t="n"/>
      <c r="D86" s="7" t="n"/>
      <c r="E86" s="7" t="n"/>
      <c r="F86" s="7" t="n"/>
      <c r="G86" s="7" t="n"/>
      <c r="H86" s="7" t="n"/>
      <c r="I86" s="7" t="n"/>
      <c r="J86" s="7" t="n"/>
      <c r="K86" s="7" t="n"/>
      <c r="L86" s="7" t="n"/>
      <c r="M86" s="7" t="n"/>
      <c r="N86" s="7" t="n"/>
      <c r="O86" s="7" t="n"/>
      <c r="P86" s="7" t="n"/>
    </row>
    <row r="87">
      <c r="A87" s="7" t="n"/>
      <c r="B87" s="7" t="n"/>
      <c r="C87" s="7" t="n"/>
      <c r="D87" s="7" t="n"/>
      <c r="E87" s="7" t="n"/>
      <c r="F87" s="7" t="n"/>
      <c r="G87" s="7" t="n"/>
      <c r="H87" s="7" t="n"/>
      <c r="I87" s="7" t="n"/>
      <c r="J87" s="7" t="n"/>
      <c r="K87" s="7" t="n"/>
      <c r="L87" s="7" t="n"/>
      <c r="M87" s="7" t="n"/>
      <c r="N87" s="7" t="n"/>
      <c r="O87" s="7" t="n"/>
      <c r="P87" s="7" t="n"/>
    </row>
    <row r="88">
      <c r="A88" s="7" t="n"/>
      <c r="B88" s="7" t="n"/>
      <c r="C88" s="7" t="n"/>
      <c r="D88" s="7" t="n"/>
      <c r="E88" s="7" t="n"/>
      <c r="F88" s="7" t="n"/>
      <c r="G88" s="7" t="n"/>
      <c r="H88" s="7" t="n"/>
      <c r="I88" s="7" t="n"/>
      <c r="J88" s="7" t="n"/>
      <c r="K88" s="7" t="n"/>
      <c r="L88" s="7" t="n"/>
      <c r="M88" s="7" t="n"/>
      <c r="N88" s="7" t="n"/>
      <c r="O88" s="7" t="n"/>
      <c r="P88" s="7" t="n"/>
    </row>
    <row r="89">
      <c r="A89" s="7" t="n"/>
      <c r="B89" s="7" t="n"/>
      <c r="C89" s="7" t="n"/>
      <c r="D89" s="7" t="n"/>
      <c r="E89" s="7" t="n"/>
      <c r="F89" s="7" t="n"/>
      <c r="G89" s="7" t="n"/>
      <c r="H89" s="7" t="n"/>
      <c r="I89" s="7" t="n"/>
      <c r="J89" s="7" t="n"/>
      <c r="K89" s="7" t="n"/>
      <c r="L89" s="7" t="n"/>
      <c r="M89" s="7" t="n"/>
      <c r="N89" s="7" t="n"/>
      <c r="O89" s="7" t="n"/>
      <c r="P89" s="7" t="n"/>
    </row>
    <row r="90">
      <c r="A90" s="7" t="n"/>
      <c r="B90" s="7" t="n"/>
      <c r="C90" s="7" t="n"/>
      <c r="D90" s="7" t="n"/>
      <c r="E90" s="7" t="n"/>
      <c r="F90" s="7" t="n"/>
      <c r="G90" s="7" t="n"/>
      <c r="H90" s="7" t="n"/>
      <c r="I90" s="7" t="n"/>
      <c r="J90" s="7" t="n"/>
      <c r="K90" s="7" t="n"/>
      <c r="L90" s="7" t="n"/>
      <c r="M90" s="7" t="n"/>
      <c r="N90" s="7" t="n"/>
      <c r="O90" s="7" t="n"/>
      <c r="P90" s="7" t="n"/>
    </row>
    <row r="91">
      <c r="A91" s="7" t="n"/>
      <c r="B91" s="7" t="n"/>
      <c r="C91" s="7" t="n"/>
      <c r="D91" s="7" t="n"/>
      <c r="E91" s="7" t="n"/>
      <c r="F91" s="7" t="n"/>
      <c r="G91" s="7" t="n"/>
      <c r="H91" s="7" t="n"/>
      <c r="I91" s="7" t="n"/>
      <c r="J91" s="7" t="n"/>
      <c r="K91" s="7" t="n"/>
      <c r="L91" s="7" t="n"/>
      <c r="M91" s="7" t="n"/>
      <c r="N91" s="7" t="n"/>
      <c r="O91" s="7" t="n"/>
      <c r="P91" s="7" t="n"/>
    </row>
    <row r="92">
      <c r="A92" s="7" t="n"/>
      <c r="B92" s="7" t="n"/>
      <c r="C92" s="7" t="n"/>
      <c r="D92" s="7" t="n"/>
      <c r="E92" s="7" t="n"/>
      <c r="F92" s="7" t="n"/>
      <c r="G92" s="7" t="n"/>
      <c r="H92" s="7" t="n"/>
      <c r="I92" s="7" t="n"/>
      <c r="J92" s="7" t="n"/>
      <c r="K92" s="7" t="n"/>
      <c r="L92" s="7" t="n"/>
      <c r="M92" s="7" t="n"/>
      <c r="N92" s="7" t="n"/>
      <c r="O92" s="7" t="n"/>
      <c r="P92" s="7" t="n"/>
    </row>
    <row r="93">
      <c r="A93" s="7" t="n"/>
      <c r="B93" s="7" t="n"/>
      <c r="C93" s="7" t="n"/>
      <c r="D93" s="7" t="n"/>
      <c r="E93" s="7" t="n"/>
      <c r="F93" s="7" t="n"/>
      <c r="G93" s="7" t="n"/>
      <c r="H93" s="7" t="n"/>
      <c r="I93" s="7" t="n"/>
      <c r="J93" s="7" t="n"/>
      <c r="K93" s="7" t="n"/>
      <c r="L93" s="7" t="n"/>
      <c r="M93" s="7" t="n"/>
      <c r="N93" s="7" t="n"/>
      <c r="O93" s="7" t="n"/>
      <c r="P93" s="7" t="n"/>
    </row>
    <row r="94">
      <c r="A94" s="7" t="n"/>
      <c r="B94" s="7" t="n"/>
      <c r="C94" s="7" t="n"/>
      <c r="D94" s="7" t="n"/>
      <c r="E94" s="7" t="n"/>
      <c r="F94" s="7" t="n"/>
      <c r="G94" s="7" t="n"/>
      <c r="H94" s="7" t="n"/>
      <c r="I94" s="7" t="n"/>
      <c r="J94" s="7" t="n"/>
      <c r="K94" s="7" t="n"/>
      <c r="L94" s="7" t="n"/>
      <c r="M94" s="7" t="n"/>
      <c r="N94" s="7" t="n"/>
      <c r="O94" s="7" t="n"/>
      <c r="P94" s="7" t="n"/>
    </row>
    <row r="95">
      <c r="A95" s="7" t="n"/>
      <c r="B95" s="7" t="n"/>
      <c r="C95" s="7" t="n"/>
      <c r="D95" s="7" t="n"/>
      <c r="E95" s="7" t="n"/>
      <c r="F95" s="7" t="n"/>
      <c r="G95" s="7" t="n"/>
      <c r="H95" s="7" t="n"/>
      <c r="I95" s="7" t="n"/>
      <c r="J95" s="7" t="n"/>
      <c r="K95" s="7" t="n"/>
      <c r="L95" s="7" t="n"/>
      <c r="M95" s="7" t="n"/>
      <c r="N95" s="7" t="n"/>
      <c r="O95" s="7" t="n"/>
      <c r="P95" s="7" t="n"/>
    </row>
    <row r="96">
      <c r="A96" s="7" t="n"/>
      <c r="B96" s="7" t="n"/>
      <c r="C96" s="7" t="n"/>
      <c r="D96" s="7" t="n"/>
      <c r="E96" s="7" t="n"/>
      <c r="F96" s="7" t="n"/>
      <c r="G96" s="7" t="n"/>
      <c r="H96" s="7" t="n"/>
      <c r="I96" s="7" t="n"/>
      <c r="J96" s="7" t="n"/>
      <c r="K96" s="7" t="n"/>
      <c r="L96" s="7" t="n"/>
      <c r="M96" s="7" t="n"/>
      <c r="N96" s="7" t="n"/>
      <c r="O96" s="7" t="n"/>
      <c r="P96" s="7" t="n"/>
    </row>
    <row r="97">
      <c r="A97" s="7" t="n"/>
      <c r="B97" s="7" t="n"/>
      <c r="C97" s="7" t="n"/>
      <c r="D97" s="7" t="n"/>
      <c r="E97" s="7" t="n"/>
      <c r="F97" s="7" t="n"/>
      <c r="G97" s="7" t="n"/>
      <c r="H97" s="7" t="n"/>
      <c r="I97" s="7" t="n"/>
      <c r="J97" s="7" t="n"/>
      <c r="K97" s="7" t="n"/>
      <c r="L97" s="7" t="n"/>
      <c r="M97" s="7" t="n"/>
      <c r="N97" s="7" t="n"/>
      <c r="O97" s="7" t="n"/>
      <c r="P97" s="7" t="n"/>
    </row>
    <row r="98">
      <c r="A98" s="7" t="n"/>
      <c r="B98" s="7" t="n"/>
      <c r="C98" s="7" t="n"/>
      <c r="D98" s="7" t="n"/>
      <c r="E98" s="7" t="n"/>
      <c r="F98" s="7" t="n"/>
      <c r="G98" s="7" t="n"/>
      <c r="H98" s="7" t="n"/>
      <c r="I98" s="7" t="n"/>
      <c r="J98" s="7" t="n"/>
      <c r="K98" s="7" t="n"/>
      <c r="L98" s="7" t="n"/>
      <c r="M98" s="7" t="n"/>
      <c r="N98" s="7" t="n"/>
      <c r="O98" s="7" t="n"/>
      <c r="P98" s="7" t="n"/>
    </row>
    <row r="99">
      <c r="A99" s="7" t="n"/>
      <c r="B99" s="7" t="n"/>
      <c r="C99" s="7" t="n"/>
      <c r="D99" s="7" t="n"/>
      <c r="E99" s="7" t="n"/>
      <c r="F99" s="7" t="n"/>
      <c r="G99" s="7" t="n"/>
      <c r="H99" s="7" t="n"/>
      <c r="I99" s="7" t="n"/>
      <c r="J99" s="7" t="n"/>
      <c r="K99" s="7" t="n"/>
      <c r="L99" s="7" t="n"/>
      <c r="M99" s="7" t="n"/>
      <c r="N99" s="7" t="n"/>
      <c r="O99" s="7" t="n"/>
      <c r="P99" s="7" t="n"/>
    </row>
    <row r="100">
      <c r="A100" s="7" t="n"/>
      <c r="B100" s="7" t="n"/>
      <c r="C100" s="7" t="n"/>
      <c r="D100" s="7" t="n"/>
      <c r="E100" s="7" t="n"/>
      <c r="F100" s="7" t="n"/>
      <c r="G100" s="7" t="n"/>
      <c r="H100" s="7" t="n"/>
      <c r="I100" s="7" t="n"/>
      <c r="J100" s="7" t="n"/>
      <c r="K100" s="7" t="n"/>
      <c r="L100" s="7" t="n"/>
      <c r="M100" s="7" t="n"/>
      <c r="N100" s="7" t="n"/>
      <c r="O100" s="7" t="n"/>
      <c r="P100" s="7" t="n"/>
    </row>
    <row r="101">
      <c r="A101" s="7" t="n"/>
      <c r="B101" s="7" t="n"/>
      <c r="C101" s="7" t="n"/>
      <c r="D101" s="7" t="n"/>
      <c r="E101" s="7" t="n"/>
      <c r="F101" s="7" t="n"/>
      <c r="G101" s="7" t="n"/>
      <c r="H101" s="7" t="n"/>
      <c r="I101" s="7" t="n"/>
      <c r="J101" s="7" t="n"/>
      <c r="K101" s="7" t="n"/>
      <c r="L101" s="7" t="n"/>
      <c r="M101" s="7" t="n"/>
      <c r="N101" s="7" t="n"/>
      <c r="O101" s="7" t="n"/>
      <c r="P101" s="7" t="n"/>
    </row>
    <row r="102">
      <c r="A102" s="7" t="n"/>
      <c r="B102" s="7" t="n"/>
      <c r="C102" s="7" t="n"/>
      <c r="D102" s="7" t="n"/>
      <c r="E102" s="7" t="n"/>
      <c r="F102" s="7" t="n"/>
      <c r="G102" s="7" t="n"/>
      <c r="H102" s="7" t="n"/>
      <c r="I102" s="7" t="n"/>
      <c r="J102" s="7" t="n"/>
      <c r="K102" s="7" t="n"/>
      <c r="L102" s="7" t="n"/>
      <c r="M102" s="7" t="n"/>
      <c r="N102" s="7" t="n"/>
      <c r="O102" s="7" t="n"/>
      <c r="P102" s="7" t="n"/>
    </row>
    <row r="103">
      <c r="A103" s="7" t="n"/>
      <c r="B103" s="7" t="n"/>
      <c r="C103" s="7" t="n"/>
      <c r="D103" s="7" t="n"/>
      <c r="E103" s="7" t="n"/>
      <c r="F103" s="7" t="n"/>
      <c r="G103" s="7" t="n"/>
      <c r="H103" s="7" t="n"/>
      <c r="I103" s="7" t="n"/>
      <c r="J103" s="7" t="n"/>
      <c r="K103" s="7" t="n"/>
      <c r="L103" s="7" t="n"/>
      <c r="M103" s="7" t="n"/>
      <c r="N103" s="7" t="n"/>
      <c r="O103" s="7" t="n"/>
      <c r="P103" s="7" t="n"/>
    </row>
    <row r="104">
      <c r="A104" s="7" t="n"/>
      <c r="B104" s="7" t="n"/>
      <c r="C104" s="7" t="n"/>
      <c r="D104" s="7" t="n"/>
      <c r="E104" s="7" t="n"/>
      <c r="F104" s="7" t="n"/>
      <c r="G104" s="7" t="n"/>
      <c r="H104" s="7" t="n"/>
      <c r="I104" s="7" t="n"/>
      <c r="J104" s="7" t="n"/>
      <c r="K104" s="7" t="n"/>
      <c r="L104" s="7" t="n"/>
      <c r="M104" s="7" t="n"/>
      <c r="N104" s="7" t="n"/>
      <c r="O104" s="7" t="n"/>
      <c r="P104" s="7" t="n"/>
    </row>
    <row r="105">
      <c r="A105" s="7" t="n"/>
      <c r="B105" s="7" t="n"/>
      <c r="C105" s="7" t="n"/>
      <c r="D105" s="7" t="n"/>
      <c r="E105" s="7" t="n"/>
      <c r="F105" s="7" t="n"/>
      <c r="G105" s="7" t="n"/>
      <c r="H105" s="7" t="n"/>
      <c r="I105" s="7" t="n"/>
      <c r="J105" s="7" t="n"/>
      <c r="K105" s="7" t="n"/>
      <c r="L105" s="7" t="n"/>
      <c r="M105" s="7" t="n"/>
      <c r="N105" s="7" t="n"/>
      <c r="O105" s="7" t="n"/>
      <c r="P105" s="7" t="n"/>
    </row>
    <row r="106">
      <c r="A106" s="7" t="n"/>
      <c r="B106" s="7" t="n"/>
      <c r="C106" s="7" t="n"/>
      <c r="D106" s="7" t="n"/>
      <c r="E106" s="7" t="n"/>
      <c r="F106" s="7" t="n"/>
      <c r="G106" s="7" t="n"/>
      <c r="H106" s="7" t="n"/>
      <c r="I106" s="7" t="n"/>
      <c r="J106" s="7" t="n"/>
      <c r="K106" s="7" t="n"/>
      <c r="L106" s="7" t="n"/>
      <c r="M106" s="7" t="n"/>
      <c r="N106" s="7" t="n"/>
      <c r="O106" s="7" t="n"/>
      <c r="P106" s="7" t="n"/>
    </row>
    <row r="107">
      <c r="A107" s="7" t="n"/>
      <c r="B107" s="7" t="n"/>
      <c r="C107" s="7" t="n"/>
      <c r="D107" s="7" t="n"/>
      <c r="E107" s="7" t="n"/>
      <c r="F107" s="7" t="n"/>
      <c r="G107" s="7" t="n"/>
      <c r="H107" s="7" t="n"/>
      <c r="I107" s="7" t="n"/>
      <c r="J107" s="7" t="n"/>
      <c r="K107" s="7" t="n"/>
      <c r="L107" s="7" t="n"/>
      <c r="M107" s="7" t="n"/>
      <c r="N107" s="7" t="n"/>
      <c r="O107" s="7" t="n"/>
      <c r="P107" s="7" t="n"/>
    </row>
    <row r="108">
      <c r="A108" s="7" t="n"/>
      <c r="B108" s="7" t="n"/>
      <c r="C108" s="7" t="n"/>
      <c r="D108" s="7" t="n"/>
      <c r="E108" s="7" t="n"/>
      <c r="F108" s="7" t="n"/>
      <c r="G108" s="7" t="n"/>
      <c r="H108" s="7" t="n"/>
      <c r="I108" s="7" t="n"/>
      <c r="J108" s="7" t="n"/>
      <c r="K108" s="7" t="n"/>
      <c r="L108" s="7" t="n"/>
      <c r="M108" s="7" t="n"/>
      <c r="N108" s="7" t="n"/>
      <c r="O108" s="7" t="n"/>
      <c r="P108" s="7" t="n"/>
    </row>
    <row r="109">
      <c r="A109" s="7" t="n"/>
      <c r="B109" s="7" t="n"/>
      <c r="C109" s="7" t="n"/>
      <c r="D109" s="7" t="n"/>
      <c r="E109" s="7" t="n"/>
      <c r="F109" s="7" t="n"/>
      <c r="G109" s="7" t="n"/>
      <c r="H109" s="7" t="n"/>
      <c r="I109" s="7" t="n"/>
      <c r="J109" s="7" t="n"/>
      <c r="K109" s="7" t="n"/>
      <c r="L109" s="7" t="n"/>
      <c r="M109" s="7" t="n"/>
      <c r="N109" s="7" t="n"/>
      <c r="O109" s="7" t="n"/>
      <c r="P109" s="7" t="n"/>
    </row>
    <row r="110">
      <c r="A110" s="7" t="n"/>
      <c r="B110" s="7" t="n"/>
      <c r="C110" s="7" t="n"/>
      <c r="D110" s="7" t="n"/>
      <c r="E110" s="7" t="n"/>
      <c r="F110" s="7" t="n"/>
      <c r="G110" s="7" t="n"/>
      <c r="H110" s="7" t="n"/>
      <c r="I110" s="7" t="n"/>
      <c r="J110" s="7" t="n"/>
      <c r="K110" s="7" t="n"/>
      <c r="L110" s="7" t="n"/>
      <c r="M110" s="7" t="n"/>
      <c r="N110" s="7" t="n"/>
      <c r="O110" s="7" t="n"/>
      <c r="P110" s="7" t="n"/>
    </row>
    <row r="111">
      <c r="A111" s="7" t="n"/>
      <c r="B111" s="7" t="n"/>
      <c r="C111" s="7" t="n"/>
      <c r="D111" s="7" t="n"/>
      <c r="E111" s="7" t="n"/>
      <c r="F111" s="7" t="n"/>
      <c r="G111" s="7" t="n"/>
      <c r="H111" s="7" t="n"/>
      <c r="I111" s="7" t="n"/>
      <c r="J111" s="7" t="n"/>
      <c r="K111" s="7" t="n"/>
      <c r="L111" s="7" t="n"/>
      <c r="M111" s="7" t="n"/>
      <c r="N111" s="7" t="n"/>
      <c r="O111" s="7" t="n"/>
      <c r="P111" s="7" t="n"/>
    </row>
    <row r="112">
      <c r="A112" s="7" t="n"/>
      <c r="B112" s="7" t="n"/>
      <c r="C112" s="7" t="n"/>
      <c r="D112" s="7" t="n"/>
      <c r="E112" s="7" t="n"/>
      <c r="F112" s="7" t="n"/>
      <c r="G112" s="7" t="n"/>
      <c r="H112" s="7" t="n"/>
      <c r="I112" s="7" t="n"/>
      <c r="J112" s="7" t="n"/>
      <c r="K112" s="7" t="n"/>
      <c r="L112" s="7" t="n"/>
      <c r="M112" s="7" t="n"/>
      <c r="N112" s="7" t="n"/>
      <c r="O112" s="7" t="n"/>
      <c r="P112" s="7" t="n"/>
    </row>
    <row r="113">
      <c r="A113" s="7" t="n"/>
      <c r="B113" s="7" t="n"/>
      <c r="C113" s="7" t="n"/>
      <c r="D113" s="7" t="n"/>
      <c r="E113" s="7" t="n"/>
      <c r="F113" s="7" t="n"/>
      <c r="G113" s="7" t="n"/>
      <c r="H113" s="7" t="n"/>
      <c r="I113" s="7" t="n"/>
      <c r="J113" s="7" t="n"/>
      <c r="K113" s="7" t="n"/>
      <c r="L113" s="7" t="n"/>
      <c r="M113" s="7" t="n"/>
      <c r="N113" s="7" t="n"/>
      <c r="O113" s="7" t="n"/>
      <c r="P113" s="7" t="n"/>
    </row>
    <row r="114">
      <c r="A114" s="7" t="n"/>
      <c r="B114" s="7" t="n"/>
      <c r="C114" s="7" t="n"/>
      <c r="D114" s="7" t="n"/>
      <c r="E114" s="7" t="n"/>
      <c r="F114" s="7" t="n"/>
      <c r="G114" s="7" t="n"/>
      <c r="H114" s="7" t="n"/>
      <c r="I114" s="7" t="n"/>
      <c r="J114" s="7" t="n"/>
      <c r="K114" s="7" t="n"/>
      <c r="L114" s="7" t="n"/>
      <c r="M114" s="7" t="n"/>
      <c r="N114" s="7" t="n"/>
      <c r="O114" s="7" t="n"/>
      <c r="P114" s="7" t="n"/>
    </row>
    <row r="115">
      <c r="A115" s="7" t="n"/>
      <c r="B115" s="7" t="n"/>
      <c r="C115" s="7" t="n"/>
      <c r="D115" s="7" t="n"/>
      <c r="E115" s="7" t="n"/>
      <c r="F115" s="7" t="n"/>
      <c r="G115" s="7" t="n"/>
      <c r="H115" s="7" t="n"/>
      <c r="I115" s="7" t="n"/>
      <c r="J115" s="7" t="n"/>
      <c r="K115" s="7" t="n"/>
      <c r="L115" s="7" t="n"/>
      <c r="M115" s="7" t="n"/>
      <c r="N115" s="7" t="n"/>
      <c r="O115" s="7" t="n"/>
      <c r="P115" s="7" t="n"/>
    </row>
    <row r="116">
      <c r="A116" s="7" t="n"/>
      <c r="B116" s="7" t="n"/>
      <c r="C116" s="7" t="n"/>
      <c r="D116" s="7" t="n"/>
      <c r="E116" s="7" t="n"/>
      <c r="F116" s="7" t="n"/>
      <c r="G116" s="7" t="n"/>
      <c r="H116" s="7" t="n"/>
      <c r="I116" s="7" t="n"/>
      <c r="J116" s="7" t="n"/>
      <c r="K116" s="7" t="n"/>
      <c r="L116" s="7" t="n"/>
      <c r="M116" s="7" t="n"/>
      <c r="N116" s="7" t="n"/>
      <c r="O116" s="7" t="n"/>
      <c r="P116" s="7" t="n"/>
    </row>
    <row r="117">
      <c r="A117" s="7" t="n"/>
      <c r="B117" s="7" t="n"/>
      <c r="C117" s="7" t="n"/>
      <c r="D117" s="7" t="n"/>
      <c r="E117" s="7" t="n"/>
      <c r="F117" s="7" t="n"/>
      <c r="G117" s="7" t="n"/>
      <c r="H117" s="7" t="n"/>
      <c r="I117" s="7" t="n"/>
      <c r="J117" s="7" t="n"/>
      <c r="K117" s="7" t="n"/>
      <c r="L117" s="7" t="n"/>
      <c r="M117" s="7" t="n"/>
      <c r="N117" s="7" t="n"/>
      <c r="O117" s="7" t="n"/>
      <c r="P117" s="7" t="n"/>
    </row>
    <row r="118">
      <c r="A118" s="7" t="n"/>
      <c r="B118" s="7" t="n"/>
      <c r="C118" s="7" t="n"/>
      <c r="D118" s="7" t="n"/>
      <c r="E118" s="7" t="n"/>
      <c r="F118" s="7" t="n"/>
      <c r="G118" s="7" t="n"/>
      <c r="H118" s="7" t="n"/>
      <c r="I118" s="7" t="n"/>
      <c r="J118" s="7" t="n"/>
      <c r="K118" s="7" t="n"/>
      <c r="L118" s="7" t="n"/>
      <c r="M118" s="7" t="n"/>
      <c r="N118" s="7" t="n"/>
      <c r="O118" s="7" t="n"/>
      <c r="P118" s="7" t="n"/>
    </row>
    <row r="119">
      <c r="A119" s="7" t="n"/>
      <c r="B119" s="7" t="n"/>
      <c r="C119" s="7" t="n"/>
      <c r="D119" s="7" t="n"/>
      <c r="E119" s="7" t="n"/>
      <c r="F119" s="7" t="n"/>
      <c r="G119" s="7" t="n"/>
      <c r="H119" s="7" t="n"/>
      <c r="I119" s="7" t="n"/>
      <c r="J119" s="7" t="n"/>
      <c r="K119" s="7" t="n"/>
      <c r="L119" s="7" t="n"/>
      <c r="M119" s="7" t="n"/>
      <c r="N119" s="7" t="n"/>
      <c r="O119" s="7" t="n"/>
      <c r="P119" s="7" t="n"/>
    </row>
    <row r="120">
      <c r="A120" s="7" t="n"/>
      <c r="B120" s="7" t="n"/>
      <c r="C120" s="7" t="n"/>
      <c r="D120" s="7" t="n"/>
      <c r="E120" s="7" t="n"/>
      <c r="F120" s="7" t="n"/>
      <c r="G120" s="7" t="n"/>
      <c r="H120" s="7" t="n"/>
      <c r="I120" s="7" t="n"/>
      <c r="J120" s="7" t="n"/>
      <c r="K120" s="7" t="n"/>
      <c r="L120" s="7" t="n"/>
      <c r="M120" s="7" t="n"/>
      <c r="N120" s="7" t="n"/>
      <c r="O120" s="7" t="n"/>
      <c r="P120" s="7" t="n"/>
    </row>
    <row r="121">
      <c r="A121" s="7" t="n"/>
      <c r="B121" s="7" t="n"/>
      <c r="C121" s="7" t="n"/>
      <c r="D121" s="7" t="n"/>
      <c r="E121" s="7" t="n"/>
      <c r="F121" s="7" t="n"/>
      <c r="G121" s="7" t="n"/>
      <c r="H121" s="7" t="n"/>
      <c r="I121" s="7" t="n"/>
      <c r="J121" s="7" t="n"/>
      <c r="K121" s="7" t="n"/>
      <c r="L121" s="7" t="n"/>
      <c r="M121" s="7" t="n"/>
      <c r="N121" s="7" t="n"/>
      <c r="O121" s="7" t="n"/>
      <c r="P121" s="7" t="n"/>
    </row>
    <row r="122">
      <c r="A122" s="7" t="n"/>
      <c r="B122" s="7" t="n"/>
      <c r="C122" s="7" t="n"/>
      <c r="D122" s="7" t="n"/>
      <c r="E122" s="7" t="n"/>
      <c r="F122" s="7" t="n"/>
      <c r="G122" s="7" t="n"/>
      <c r="H122" s="7" t="n"/>
      <c r="I122" s="7" t="n"/>
      <c r="J122" s="7" t="n"/>
      <c r="K122" s="7" t="n"/>
      <c r="L122" s="7" t="n"/>
      <c r="M122" s="7" t="n"/>
      <c r="N122" s="7" t="n"/>
      <c r="O122" s="7" t="n"/>
      <c r="P122" s="7" t="n"/>
    </row>
    <row r="123">
      <c r="A123" s="7" t="n"/>
      <c r="B123" s="7" t="n"/>
      <c r="C123" s="7" t="n"/>
      <c r="D123" s="7" t="n"/>
      <c r="E123" s="7" t="n"/>
      <c r="F123" s="7" t="n"/>
      <c r="G123" s="7" t="n"/>
      <c r="H123" s="7" t="n"/>
      <c r="I123" s="7" t="n"/>
      <c r="J123" s="7" t="n"/>
      <c r="K123" s="7" t="n"/>
      <c r="L123" s="7" t="n"/>
      <c r="M123" s="7" t="n"/>
      <c r="N123" s="7" t="n"/>
      <c r="O123" s="7" t="n"/>
      <c r="P123" s="7" t="n"/>
    </row>
    <row r="124">
      <c r="A124" s="7" t="n"/>
      <c r="B124" s="7" t="n"/>
      <c r="C124" s="7" t="n"/>
      <c r="D124" s="7" t="n"/>
      <c r="E124" s="7" t="n"/>
      <c r="F124" s="7" t="n"/>
      <c r="G124" s="7" t="n"/>
      <c r="H124" s="7" t="n"/>
      <c r="I124" s="7" t="n"/>
      <c r="J124" s="7" t="n"/>
      <c r="K124" s="7" t="n"/>
      <c r="L124" s="7" t="n"/>
      <c r="M124" s="7" t="n"/>
      <c r="N124" s="7" t="n"/>
      <c r="O124" s="7" t="n"/>
      <c r="P124" s="7" t="n"/>
    </row>
    <row r="125">
      <c r="A125" s="7" t="n"/>
      <c r="B125" s="7" t="n"/>
      <c r="C125" s="7" t="n"/>
      <c r="D125" s="7" t="n"/>
      <c r="E125" s="7" t="n"/>
      <c r="F125" s="7" t="n"/>
      <c r="G125" s="7" t="n"/>
      <c r="H125" s="7" t="n"/>
      <c r="I125" s="7" t="n"/>
      <c r="J125" s="7" t="n"/>
      <c r="K125" s="7" t="n"/>
      <c r="L125" s="7" t="n"/>
      <c r="M125" s="7" t="n"/>
      <c r="N125" s="7" t="n"/>
      <c r="O125" s="7" t="n"/>
      <c r="P125" s="7" t="n"/>
    </row>
    <row r="126">
      <c r="A126" s="7" t="n"/>
      <c r="B126" s="7" t="n"/>
      <c r="C126" s="7" t="n"/>
      <c r="D126" s="7" t="n"/>
      <c r="E126" s="7" t="n"/>
      <c r="F126" s="7" t="n"/>
      <c r="G126" s="7" t="n"/>
      <c r="H126" s="7" t="n"/>
      <c r="I126" s="7" t="n"/>
      <c r="J126" s="7" t="n"/>
      <c r="K126" s="7" t="n"/>
      <c r="L126" s="7" t="n"/>
      <c r="M126" s="7" t="n"/>
      <c r="N126" s="7" t="n"/>
      <c r="O126" s="7" t="n"/>
      <c r="P126" s="7" t="n"/>
    </row>
    <row r="127">
      <c r="A127" s="7" t="n"/>
      <c r="B127" s="7" t="n"/>
      <c r="C127" s="7" t="n"/>
      <c r="D127" s="7" t="n"/>
      <c r="E127" s="7" t="n"/>
      <c r="F127" s="7" t="n"/>
      <c r="G127" s="7" t="n"/>
      <c r="H127" s="7" t="n"/>
      <c r="I127" s="7" t="n"/>
      <c r="J127" s="7" t="n"/>
      <c r="K127" s="7" t="n"/>
      <c r="L127" s="7" t="n"/>
      <c r="M127" s="7" t="n"/>
      <c r="N127" s="7" t="n"/>
      <c r="O127" s="7" t="n"/>
      <c r="P127" s="7" t="n"/>
    </row>
    <row r="128">
      <c r="A128" s="7" t="n"/>
      <c r="B128" s="7" t="n"/>
      <c r="C128" s="7" t="n"/>
      <c r="D128" s="7" t="n"/>
      <c r="E128" s="7" t="n"/>
      <c r="F128" s="7" t="n"/>
      <c r="G128" s="7" t="n"/>
      <c r="H128" s="7" t="n"/>
      <c r="I128" s="7" t="n"/>
      <c r="J128" s="7" t="n"/>
      <c r="K128" s="7" t="n"/>
      <c r="L128" s="7" t="n"/>
      <c r="M128" s="7" t="n"/>
      <c r="N128" s="7" t="n"/>
      <c r="O128" s="7" t="n"/>
      <c r="P128" s="7" t="n"/>
    </row>
    <row r="129">
      <c r="A129" s="7" t="n"/>
      <c r="B129" s="7" t="n"/>
      <c r="C129" s="7" t="n"/>
      <c r="D129" s="7" t="n"/>
      <c r="E129" s="7" t="n"/>
      <c r="F129" s="7" t="n"/>
      <c r="G129" s="7" t="n"/>
      <c r="H129" s="7" t="n"/>
      <c r="I129" s="7" t="n"/>
      <c r="J129" s="7" t="n"/>
      <c r="K129" s="7" t="n"/>
      <c r="L129" s="7" t="n"/>
      <c r="M129" s="7" t="n"/>
      <c r="N129" s="7" t="n"/>
      <c r="O129" s="7" t="n"/>
      <c r="P129" s="7" t="n"/>
    </row>
    <row r="130">
      <c r="A130" s="7" t="n"/>
      <c r="B130" s="7" t="n"/>
      <c r="C130" s="7" t="n"/>
      <c r="D130" s="7" t="n"/>
      <c r="E130" s="7" t="n"/>
      <c r="F130" s="7" t="n"/>
      <c r="G130" s="7" t="n"/>
      <c r="H130" s="7" t="n"/>
      <c r="I130" s="7" t="n"/>
      <c r="J130" s="7" t="n"/>
      <c r="K130" s="7" t="n"/>
      <c r="L130" s="7" t="n"/>
      <c r="M130" s="7" t="n"/>
      <c r="N130" s="7" t="n"/>
      <c r="O130" s="7" t="n"/>
      <c r="P130" s="7" t="n"/>
    </row>
    <row r="131">
      <c r="A131" s="7" t="n"/>
      <c r="B131" s="7" t="n"/>
      <c r="C131" s="7" t="n"/>
      <c r="D131" s="7" t="n"/>
      <c r="E131" s="7" t="n"/>
      <c r="F131" s="7" t="n"/>
      <c r="G131" s="7" t="n"/>
      <c r="H131" s="7" t="n"/>
      <c r="I131" s="7" t="n"/>
      <c r="J131" s="7" t="n"/>
      <c r="K131" s="7" t="n"/>
      <c r="L131" s="7" t="n"/>
      <c r="M131" s="7" t="n"/>
      <c r="N131" s="7" t="n"/>
      <c r="O131" s="7" t="n"/>
      <c r="P131" s="7" t="n"/>
    </row>
    <row r="132">
      <c r="A132" s="7" t="n"/>
      <c r="B132" s="7" t="n"/>
      <c r="C132" s="7" t="n"/>
      <c r="D132" s="7" t="n"/>
      <c r="E132" s="7" t="n"/>
      <c r="F132" s="7" t="n"/>
      <c r="G132" s="7" t="n"/>
      <c r="H132" s="7" t="n"/>
      <c r="I132" s="7" t="n"/>
      <c r="J132" s="7" t="n"/>
      <c r="K132" s="7" t="n"/>
      <c r="L132" s="7" t="n"/>
      <c r="M132" s="7" t="n"/>
      <c r="N132" s="7" t="n"/>
      <c r="O132" s="7" t="n"/>
      <c r="P132" s="7" t="n"/>
    </row>
    <row r="133">
      <c r="A133" s="7" t="n"/>
      <c r="B133" s="7" t="n"/>
      <c r="C133" s="7" t="n"/>
      <c r="D133" s="7" t="n"/>
      <c r="E133" s="7" t="n"/>
      <c r="F133" s="7" t="n"/>
      <c r="G133" s="7" t="n"/>
      <c r="H133" s="7" t="n"/>
      <c r="I133" s="7" t="n"/>
      <c r="J133" s="7" t="n"/>
      <c r="K133" s="7" t="n"/>
      <c r="L133" s="7" t="n"/>
      <c r="M133" s="7" t="n"/>
      <c r="N133" s="7" t="n"/>
      <c r="O133" s="7" t="n"/>
      <c r="P133" s="7" t="n"/>
    </row>
    <row r="134">
      <c r="A134" s="7" t="n"/>
      <c r="B134" s="7" t="n"/>
      <c r="C134" s="7" t="n"/>
      <c r="D134" s="7" t="n"/>
      <c r="E134" s="7" t="n"/>
      <c r="F134" s="7" t="n"/>
      <c r="G134" s="7" t="n"/>
      <c r="H134" s="7" t="n"/>
      <c r="I134" s="7" t="n"/>
      <c r="J134" s="7" t="n"/>
      <c r="K134" s="7" t="n"/>
      <c r="L134" s="7" t="n"/>
      <c r="M134" s="7" t="n"/>
      <c r="N134" s="7" t="n"/>
      <c r="O134" s="7" t="n"/>
      <c r="P134" s="7" t="n"/>
    </row>
    <row r="135">
      <c r="A135" s="7" t="n"/>
      <c r="B135" s="7" t="n"/>
      <c r="C135" s="7" t="n"/>
      <c r="D135" s="7" t="n"/>
      <c r="E135" s="7" t="n"/>
      <c r="F135" s="7" t="n"/>
      <c r="G135" s="7" t="n"/>
      <c r="H135" s="7" t="n"/>
      <c r="I135" s="7" t="n"/>
      <c r="J135" s="7" t="n"/>
      <c r="K135" s="7" t="n"/>
      <c r="L135" s="7" t="n"/>
      <c r="M135" s="7" t="n"/>
      <c r="N135" s="7" t="n"/>
      <c r="O135" s="7" t="n"/>
      <c r="P135" s="7" t="n"/>
    </row>
    <row r="136">
      <c r="A136" s="7" t="n"/>
      <c r="B136" s="7" t="n"/>
      <c r="C136" s="7" t="n"/>
      <c r="D136" s="7" t="n"/>
      <c r="E136" s="7" t="n"/>
      <c r="F136" s="7" t="n"/>
      <c r="G136" s="7" t="n"/>
      <c r="H136" s="7" t="n"/>
      <c r="I136" s="7" t="n"/>
      <c r="J136" s="7" t="n"/>
      <c r="K136" s="7" t="n"/>
      <c r="L136" s="7" t="n"/>
      <c r="M136" s="7" t="n"/>
      <c r="N136" s="7" t="n"/>
      <c r="O136" s="7" t="n"/>
      <c r="P136" s="7" t="n"/>
    </row>
    <row r="137">
      <c r="A137" s="7" t="n"/>
      <c r="B137" s="7" t="n"/>
      <c r="C137" s="7" t="n"/>
      <c r="D137" s="7" t="n"/>
      <c r="E137" s="7" t="n"/>
      <c r="F137" s="7" t="n"/>
      <c r="G137" s="7" t="n"/>
      <c r="H137" s="7" t="n"/>
      <c r="I137" s="7" t="n"/>
      <c r="J137" s="7" t="n"/>
      <c r="K137" s="7" t="n"/>
      <c r="L137" s="7" t="n"/>
      <c r="M137" s="7" t="n"/>
      <c r="N137" s="7" t="n"/>
      <c r="O137" s="7" t="n"/>
      <c r="P137" s="7" t="n"/>
    </row>
    <row r="138">
      <c r="A138" s="7" t="n"/>
      <c r="B138" s="7" t="n"/>
      <c r="C138" s="7" t="n"/>
      <c r="D138" s="7" t="n"/>
      <c r="E138" s="7" t="n"/>
      <c r="F138" s="7" t="n"/>
      <c r="G138" s="7" t="n"/>
      <c r="H138" s="7" t="n"/>
      <c r="I138" s="7" t="n"/>
      <c r="J138" s="7" t="n"/>
      <c r="K138" s="7" t="n"/>
      <c r="L138" s="7" t="n"/>
      <c r="M138" s="7" t="n"/>
      <c r="N138" s="7" t="n"/>
      <c r="O138" s="7" t="n"/>
      <c r="P138" s="7" t="n"/>
    </row>
    <row r="139">
      <c r="A139" s="7" t="n"/>
      <c r="B139" s="7" t="n"/>
      <c r="C139" s="7" t="n"/>
      <c r="D139" s="7" t="n"/>
      <c r="E139" s="7" t="n"/>
      <c r="F139" s="7" t="n"/>
      <c r="G139" s="7" t="n"/>
      <c r="H139" s="7" t="n"/>
      <c r="I139" s="7" t="n"/>
      <c r="J139" s="7" t="n"/>
      <c r="K139" s="7" t="n"/>
      <c r="L139" s="7" t="n"/>
      <c r="M139" s="7" t="n"/>
      <c r="N139" s="7" t="n"/>
      <c r="O139" s="7" t="n"/>
      <c r="P139" s="7" t="n"/>
    </row>
    <row r="140">
      <c r="A140" s="7" t="n"/>
      <c r="B140" s="7" t="n"/>
      <c r="C140" s="7" t="n"/>
      <c r="D140" s="7" t="n"/>
      <c r="E140" s="7" t="n"/>
      <c r="F140" s="7" t="n"/>
      <c r="G140" s="7" t="n"/>
      <c r="H140" s="7" t="n"/>
      <c r="I140" s="7" t="n"/>
      <c r="J140" s="7" t="n"/>
      <c r="K140" s="7" t="n"/>
      <c r="L140" s="7" t="n"/>
      <c r="M140" s="7" t="n"/>
      <c r="N140" s="7" t="n"/>
      <c r="O140" s="7" t="n"/>
      <c r="P140" s="7" t="n"/>
    </row>
    <row r="141">
      <c r="A141" s="7" t="n"/>
      <c r="B141" s="7" t="n"/>
      <c r="C141" s="7" t="n"/>
      <c r="D141" s="7" t="n"/>
      <c r="E141" s="7" t="n"/>
      <c r="F141" s="7" t="n"/>
      <c r="G141" s="7" t="n"/>
      <c r="H141" s="7" t="n"/>
      <c r="I141" s="7" t="n"/>
      <c r="J141" s="7" t="n"/>
      <c r="K141" s="7" t="n"/>
      <c r="L141" s="7" t="n"/>
      <c r="M141" s="7" t="n"/>
      <c r="N141" s="7" t="n"/>
      <c r="O141" s="7" t="n"/>
      <c r="P141" s="7" t="n"/>
    </row>
    <row r="142">
      <c r="A142" s="7" t="n"/>
      <c r="B142" s="7" t="n"/>
      <c r="C142" s="7" t="n"/>
      <c r="D142" s="7" t="n"/>
      <c r="E142" s="7" t="n"/>
      <c r="F142" s="7" t="n"/>
      <c r="G142" s="7" t="n"/>
      <c r="H142" s="7" t="n"/>
      <c r="I142" s="7" t="n"/>
      <c r="J142" s="7" t="n"/>
      <c r="K142" s="7" t="n"/>
      <c r="L142" s="7" t="n"/>
      <c r="M142" s="7" t="n"/>
      <c r="N142" s="7" t="n"/>
      <c r="O142" s="7" t="n"/>
      <c r="P142" s="7" t="n"/>
    </row>
    <row r="143">
      <c r="A143" s="7" t="n"/>
      <c r="B143" s="7" t="n"/>
      <c r="C143" s="7" t="n"/>
      <c r="D143" s="7" t="n"/>
      <c r="E143" s="7" t="n"/>
      <c r="F143" s="7" t="n"/>
      <c r="G143" s="7" t="n"/>
      <c r="H143" s="7" t="n"/>
      <c r="I143" s="7" t="n"/>
      <c r="J143" s="7" t="n"/>
      <c r="K143" s="7" t="n"/>
      <c r="L143" s="7" t="n"/>
      <c r="M143" s="7" t="n"/>
      <c r="N143" s="7" t="n"/>
      <c r="O143" s="7" t="n"/>
      <c r="P143" s="7" t="n"/>
    </row>
    <row r="144">
      <c r="A144" s="7" t="n"/>
      <c r="B144" s="7" t="n"/>
      <c r="C144" s="7" t="n"/>
      <c r="D144" s="7" t="n"/>
      <c r="E144" s="7" t="n"/>
      <c r="F144" s="7" t="n"/>
      <c r="G144" s="7" t="n"/>
      <c r="H144" s="7" t="n"/>
      <c r="I144" s="7" t="n"/>
      <c r="J144" s="7" t="n"/>
      <c r="K144" s="7" t="n"/>
      <c r="L144" s="7" t="n"/>
      <c r="M144" s="7" t="n"/>
      <c r="N144" s="7" t="n"/>
      <c r="O144" s="7" t="n"/>
      <c r="P144" s="7" t="n"/>
    </row>
    <row r="145">
      <c r="A145" s="7" t="n"/>
      <c r="B145" s="7" t="n"/>
      <c r="C145" s="7" t="n"/>
      <c r="D145" s="7" t="n"/>
      <c r="E145" s="7" t="n"/>
      <c r="F145" s="7" t="n"/>
      <c r="G145" s="7" t="n"/>
      <c r="H145" s="7" t="n"/>
      <c r="I145" s="7" t="n"/>
      <c r="J145" s="7" t="n"/>
      <c r="K145" s="7" t="n"/>
      <c r="L145" s="7" t="n"/>
      <c r="M145" s="7" t="n"/>
      <c r="N145" s="7" t="n"/>
      <c r="O145" s="7" t="n"/>
      <c r="P145" s="7" t="n"/>
    </row>
    <row r="146">
      <c r="A146" s="7" t="n"/>
      <c r="B146" s="7" t="n"/>
      <c r="C146" s="7" t="n"/>
      <c r="D146" s="7" t="n"/>
      <c r="E146" s="7" t="n"/>
      <c r="F146" s="7" t="n"/>
      <c r="G146" s="7" t="n"/>
      <c r="H146" s="7" t="n"/>
      <c r="I146" s="7" t="n"/>
      <c r="J146" s="7" t="n"/>
      <c r="K146" s="7" t="n"/>
      <c r="L146" s="7" t="n"/>
      <c r="M146" s="7" t="n"/>
      <c r="N146" s="7" t="n"/>
      <c r="O146" s="7" t="n"/>
      <c r="P146" s="7" t="n"/>
    </row>
    <row r="147">
      <c r="A147" s="7" t="n"/>
      <c r="B147" s="7" t="n"/>
      <c r="C147" s="7" t="n"/>
      <c r="D147" s="7" t="n"/>
      <c r="E147" s="7" t="n"/>
      <c r="F147" s="7" t="n"/>
      <c r="G147" s="7" t="n"/>
      <c r="H147" s="7" t="n"/>
      <c r="I147" s="7" t="n"/>
      <c r="J147" s="7" t="n"/>
      <c r="K147" s="7" t="n"/>
      <c r="L147" s="7" t="n"/>
      <c r="M147" s="7" t="n"/>
      <c r="N147" s="7" t="n"/>
      <c r="O147" s="7" t="n"/>
      <c r="P147" s="7" t="n"/>
    </row>
    <row r="148">
      <c r="A148" s="7" t="n"/>
      <c r="B148" s="7" t="n"/>
      <c r="C148" s="7" t="n"/>
      <c r="D148" s="7" t="n"/>
      <c r="E148" s="7" t="n"/>
      <c r="F148" s="7" t="n"/>
      <c r="G148" s="7" t="n"/>
      <c r="H148" s="7" t="n"/>
      <c r="I148" s="7" t="n"/>
      <c r="J148" s="7" t="n"/>
      <c r="K148" s="7" t="n"/>
      <c r="L148" s="7" t="n"/>
      <c r="M148" s="7" t="n"/>
      <c r="N148" s="7" t="n"/>
      <c r="O148" s="7" t="n"/>
      <c r="P148" s="7" t="n"/>
    </row>
    <row r="149">
      <c r="A149" s="7" t="n"/>
      <c r="B149" s="7" t="n"/>
      <c r="C149" s="7" t="n"/>
      <c r="D149" s="7" t="n"/>
      <c r="E149" s="7" t="n"/>
      <c r="F149" s="7" t="n"/>
      <c r="G149" s="7" t="n"/>
      <c r="H149" s="7" t="n"/>
      <c r="I149" s="7" t="n"/>
      <c r="J149" s="7" t="n"/>
      <c r="K149" s="7" t="n"/>
      <c r="L149" s="7" t="n"/>
      <c r="M149" s="7" t="n"/>
      <c r="N149" s="7" t="n"/>
      <c r="O149" s="7" t="n"/>
      <c r="P149" s="7" t="n"/>
    </row>
    <row r="150">
      <c r="A150" s="7" t="n"/>
      <c r="B150" s="7" t="n"/>
      <c r="C150" s="7" t="n"/>
      <c r="D150" s="7" t="n"/>
      <c r="E150" s="7" t="n"/>
      <c r="F150" s="7" t="n"/>
      <c r="G150" s="7" t="n"/>
      <c r="H150" s="7" t="n"/>
      <c r="I150" s="7" t="n"/>
      <c r="J150" s="7" t="n"/>
      <c r="K150" s="7" t="n"/>
      <c r="L150" s="7" t="n"/>
      <c r="M150" s="7" t="n"/>
      <c r="N150" s="7" t="n"/>
      <c r="O150" s="7" t="n"/>
      <c r="P150" s="7" t="n"/>
    </row>
    <row r="151">
      <c r="A151" s="7" t="n"/>
      <c r="B151" s="7" t="n"/>
      <c r="C151" s="7" t="n"/>
      <c r="D151" s="7" t="n"/>
      <c r="E151" s="7" t="n"/>
      <c r="F151" s="7" t="n"/>
      <c r="G151" s="7" t="n"/>
      <c r="H151" s="7" t="n"/>
      <c r="I151" s="7" t="n"/>
      <c r="J151" s="7" t="n"/>
      <c r="K151" s="7" t="n"/>
      <c r="L151" s="7" t="n"/>
      <c r="M151" s="7" t="n"/>
      <c r="N151" s="7" t="n"/>
      <c r="O151" s="7" t="n"/>
      <c r="P151" s="7" t="n"/>
    </row>
    <row r="152">
      <c r="A152" s="7" t="n"/>
      <c r="B152" s="7" t="n"/>
      <c r="C152" s="7" t="n"/>
      <c r="D152" s="7" t="n"/>
      <c r="E152" s="7" t="n"/>
      <c r="F152" s="7" t="n"/>
      <c r="G152" s="7" t="n"/>
      <c r="H152" s="7" t="n"/>
      <c r="I152" s="7" t="n"/>
      <c r="J152" s="7" t="n"/>
      <c r="K152" s="7" t="n"/>
      <c r="L152" s="7" t="n"/>
      <c r="M152" s="7" t="n"/>
      <c r="N152" s="7" t="n"/>
      <c r="O152" s="7" t="n"/>
      <c r="P152" s="7" t="n"/>
    </row>
    <row r="153">
      <c r="A153" s="7" t="n"/>
      <c r="B153" s="7" t="n"/>
      <c r="C153" s="7" t="n"/>
      <c r="D153" s="7" t="n"/>
      <c r="E153" s="7" t="n"/>
      <c r="F153" s="7" t="n"/>
      <c r="G153" s="7" t="n"/>
      <c r="H153" s="7" t="n"/>
      <c r="I153" s="7" t="n"/>
      <c r="J153" s="7" t="n"/>
      <c r="K153" s="7" t="n"/>
      <c r="L153" s="7" t="n"/>
      <c r="M153" s="7" t="n"/>
      <c r="N153" s="7" t="n"/>
      <c r="O153" s="7" t="n"/>
      <c r="P153" s="7" t="n"/>
    </row>
    <row r="154">
      <c r="A154" s="7" t="n"/>
      <c r="B154" s="7" t="n"/>
      <c r="C154" s="7" t="n"/>
      <c r="D154" s="7" t="n"/>
      <c r="E154" s="7" t="n"/>
      <c r="F154" s="7" t="n"/>
      <c r="G154" s="7" t="n"/>
      <c r="H154" s="7" t="n"/>
      <c r="I154" s="7" t="n"/>
      <c r="J154" s="7" t="n"/>
      <c r="K154" s="7" t="n"/>
      <c r="L154" s="7" t="n"/>
      <c r="M154" s="7" t="n"/>
      <c r="N154" s="7" t="n"/>
      <c r="O154" s="7" t="n"/>
      <c r="P154" s="7" t="n"/>
    </row>
    <row r="155">
      <c r="A155" s="7" t="n"/>
      <c r="B155" s="7" t="n"/>
      <c r="C155" s="7" t="n"/>
      <c r="D155" s="7" t="n"/>
      <c r="E155" s="7" t="n"/>
      <c r="F155" s="7" t="n"/>
      <c r="G155" s="7" t="n"/>
      <c r="H155" s="7" t="n"/>
      <c r="I155" s="7" t="n"/>
      <c r="J155" s="7" t="n"/>
      <c r="K155" s="7" t="n"/>
      <c r="L155" s="7" t="n"/>
      <c r="M155" s="7" t="n"/>
      <c r="N155" s="7" t="n"/>
      <c r="O155" s="7" t="n"/>
      <c r="P155" s="7" t="n"/>
    </row>
    <row r="156">
      <c r="A156" s="7" t="n"/>
      <c r="B156" s="7" t="n"/>
      <c r="C156" s="7" t="n"/>
      <c r="D156" s="7" t="n"/>
      <c r="E156" s="7" t="n"/>
      <c r="F156" s="7" t="n"/>
      <c r="G156" s="7" t="n"/>
      <c r="H156" s="7" t="n"/>
      <c r="I156" s="7" t="n"/>
      <c r="J156" s="7" t="n"/>
      <c r="K156" s="7" t="n"/>
      <c r="L156" s="7" t="n"/>
      <c r="M156" s="7" t="n"/>
      <c r="N156" s="7" t="n"/>
      <c r="O156" s="7" t="n"/>
      <c r="P156" s="7" t="n"/>
    </row>
    <row r="157">
      <c r="A157" s="7" t="n"/>
      <c r="B157" s="7" t="n"/>
      <c r="C157" s="7" t="n"/>
      <c r="D157" s="7" t="n"/>
      <c r="E157" s="7" t="n"/>
      <c r="F157" s="7" t="n"/>
      <c r="G157" s="7" t="n"/>
      <c r="H157" s="7" t="n"/>
      <c r="I157" s="7" t="n"/>
      <c r="J157" s="7" t="n"/>
      <c r="K157" s="7" t="n"/>
      <c r="L157" s="7" t="n"/>
      <c r="M157" s="7" t="n"/>
      <c r="N157" s="7" t="n"/>
      <c r="O157" s="7" t="n"/>
      <c r="P157" s="7" t="n"/>
    </row>
    <row r="158">
      <c r="A158" s="7" t="n"/>
      <c r="B158" s="7" t="n"/>
      <c r="C158" s="7" t="n"/>
      <c r="D158" s="7" t="n"/>
      <c r="E158" s="7" t="n"/>
      <c r="F158" s="7" t="n"/>
      <c r="G158" s="7" t="n"/>
      <c r="H158" s="7" t="n"/>
      <c r="I158" s="7" t="n"/>
      <c r="J158" s="7" t="n"/>
      <c r="K158" s="7" t="n"/>
      <c r="L158" s="7" t="n"/>
      <c r="M158" s="7" t="n"/>
      <c r="N158" s="7" t="n"/>
      <c r="O158" s="7" t="n"/>
      <c r="P158" s="7" t="n"/>
    </row>
    <row r="159">
      <c r="A159" s="7" t="n"/>
      <c r="B159" s="7" t="n"/>
      <c r="C159" s="7" t="n"/>
      <c r="D159" s="7" t="n"/>
      <c r="E159" s="7" t="n"/>
      <c r="F159" s="7" t="n"/>
      <c r="G159" s="7" t="n"/>
      <c r="H159" s="7" t="n"/>
      <c r="I159" s="7" t="n"/>
      <c r="J159" s="7" t="n"/>
      <c r="K159" s="7" t="n"/>
      <c r="L159" s="7" t="n"/>
      <c r="M159" s="7" t="n"/>
      <c r="N159" s="7" t="n"/>
      <c r="O159" s="7" t="n"/>
      <c r="P159" s="7" t="n"/>
    </row>
    <row r="160">
      <c r="A160" s="7" t="n"/>
      <c r="B160" s="7" t="n"/>
      <c r="C160" s="7" t="n"/>
      <c r="D160" s="7" t="n"/>
      <c r="E160" s="7" t="n"/>
      <c r="F160" s="7" t="n"/>
      <c r="G160" s="7" t="n"/>
      <c r="H160" s="7" t="n"/>
      <c r="I160" s="7" t="n"/>
      <c r="J160" s="7" t="n"/>
      <c r="K160" s="7" t="n"/>
      <c r="L160" s="7" t="n"/>
      <c r="M160" s="7" t="n"/>
      <c r="N160" s="7" t="n"/>
      <c r="O160" s="7" t="n"/>
      <c r="P160" s="7" t="n"/>
    </row>
    <row r="161">
      <c r="A161" s="7" t="n"/>
      <c r="B161" s="7" t="n"/>
      <c r="C161" s="7" t="n"/>
      <c r="D161" s="7" t="n"/>
      <c r="E161" s="7" t="n"/>
      <c r="F161" s="7" t="n"/>
      <c r="G161" s="7" t="n"/>
      <c r="H161" s="7" t="n"/>
      <c r="I161" s="7" t="n"/>
      <c r="J161" s="7" t="n"/>
      <c r="K161" s="7" t="n"/>
      <c r="L161" s="7" t="n"/>
      <c r="M161" s="7" t="n"/>
      <c r="N161" s="7" t="n"/>
      <c r="O161" s="7" t="n"/>
      <c r="P161" s="7" t="n"/>
    </row>
    <row r="162">
      <c r="A162" s="7" t="n"/>
      <c r="B162" s="7" t="n"/>
      <c r="C162" s="7" t="n"/>
      <c r="D162" s="7" t="n"/>
      <c r="E162" s="7" t="n"/>
      <c r="F162" s="7" t="n"/>
      <c r="G162" s="7" t="n"/>
      <c r="H162" s="7" t="n"/>
      <c r="I162" s="7" t="n"/>
      <c r="J162" s="7" t="n"/>
      <c r="K162" s="7" t="n"/>
      <c r="L162" s="7" t="n"/>
      <c r="M162" s="7" t="n"/>
      <c r="N162" s="7" t="n"/>
      <c r="O162" s="7" t="n"/>
      <c r="P162" s="7" t="n"/>
    </row>
    <row r="163">
      <c r="A163" s="7" t="n"/>
      <c r="B163" s="7" t="n"/>
      <c r="C163" s="7" t="n"/>
      <c r="D163" s="7" t="n"/>
      <c r="E163" s="7" t="n"/>
      <c r="F163" s="7" t="n"/>
      <c r="G163" s="7" t="n"/>
      <c r="H163" s="7" t="n"/>
      <c r="I163" s="7" t="n"/>
      <c r="J163" s="7" t="n"/>
      <c r="K163" s="7" t="n"/>
      <c r="L163" s="7" t="n"/>
      <c r="M163" s="7" t="n"/>
      <c r="N163" s="7" t="n"/>
      <c r="O163" s="7" t="n"/>
      <c r="P163" s="7" t="n"/>
    </row>
    <row r="164">
      <c r="A164" s="7" t="n"/>
      <c r="B164" s="7" t="n"/>
      <c r="C164" s="7" t="n"/>
      <c r="D164" s="7" t="n"/>
      <c r="E164" s="7" t="n"/>
      <c r="F164" s="7" t="n"/>
      <c r="G164" s="7" t="n"/>
      <c r="H164" s="7" t="n"/>
      <c r="I164" s="7" t="n"/>
      <c r="J164" s="7" t="n"/>
      <c r="K164" s="7" t="n"/>
      <c r="L164" s="7" t="n"/>
      <c r="M164" s="7" t="n"/>
      <c r="N164" s="7" t="n"/>
      <c r="O164" s="7" t="n"/>
      <c r="P164" s="7" t="n"/>
    </row>
    <row r="165">
      <c r="A165" s="7" t="n"/>
      <c r="B165" s="7" t="n"/>
      <c r="C165" s="7" t="n"/>
      <c r="D165" s="7" t="n"/>
      <c r="E165" s="7" t="n"/>
      <c r="F165" s="7" t="n"/>
      <c r="G165" s="7" t="n"/>
      <c r="H165" s="7" t="n"/>
      <c r="I165" s="7" t="n"/>
      <c r="J165" s="7" t="n"/>
      <c r="K165" s="7" t="n"/>
      <c r="L165" s="7" t="n"/>
      <c r="M165" s="7" t="n"/>
      <c r="N165" s="7" t="n"/>
      <c r="O165" s="7" t="n"/>
      <c r="P165" s="7" t="n"/>
    </row>
    <row r="166">
      <c r="A166" s="7" t="n"/>
      <c r="B166" s="7" t="n"/>
      <c r="C166" s="7" t="n"/>
      <c r="D166" s="7" t="n"/>
      <c r="E166" s="7" t="n"/>
      <c r="F166" s="7" t="n"/>
      <c r="G166" s="7" t="n"/>
      <c r="H166" s="7" t="n"/>
      <c r="I166" s="7" t="n"/>
      <c r="J166" s="7" t="n"/>
      <c r="K166" s="7" t="n"/>
      <c r="L166" s="7" t="n"/>
      <c r="M166" s="7" t="n"/>
      <c r="N166" s="7" t="n"/>
      <c r="O166" s="7" t="n"/>
      <c r="P166" s="7" t="n"/>
    </row>
    <row r="167">
      <c r="A167" s="7" t="n"/>
      <c r="B167" s="7" t="n"/>
      <c r="C167" s="7" t="n"/>
      <c r="D167" s="7" t="n"/>
      <c r="E167" s="7" t="n"/>
      <c r="F167" s="7" t="n"/>
      <c r="G167" s="7" t="n"/>
      <c r="H167" s="7" t="n"/>
      <c r="I167" s="7" t="n"/>
      <c r="J167" s="7" t="n"/>
      <c r="K167" s="7" t="n"/>
      <c r="L167" s="7" t="n"/>
      <c r="M167" s="7" t="n"/>
      <c r="N167" s="7" t="n"/>
      <c r="O167" s="7" t="n"/>
      <c r="P167" s="7" t="n"/>
    </row>
    <row r="168">
      <c r="A168" s="7" t="n"/>
      <c r="B168" s="7" t="n"/>
      <c r="C168" s="7" t="n"/>
      <c r="D168" s="7" t="n"/>
      <c r="E168" s="7" t="n"/>
      <c r="F168" s="7" t="n"/>
      <c r="G168" s="7" t="n"/>
      <c r="H168" s="7" t="n"/>
      <c r="I168" s="7" t="n"/>
      <c r="J168" s="7" t="n"/>
      <c r="K168" s="7" t="n"/>
      <c r="L168" s="7" t="n"/>
      <c r="M168" s="7" t="n"/>
      <c r="N168" s="7" t="n"/>
      <c r="O168" s="7" t="n"/>
      <c r="P168" s="7" t="n"/>
    </row>
    <row r="169">
      <c r="A169" s="7" t="n"/>
      <c r="B169" s="7" t="n"/>
      <c r="C169" s="7" t="n"/>
      <c r="D169" s="7" t="n"/>
      <c r="E169" s="7" t="n"/>
      <c r="F169" s="7" t="n"/>
      <c r="G169" s="7" t="n"/>
      <c r="H169" s="7" t="n"/>
      <c r="I169" s="7" t="n"/>
      <c r="J169" s="7" t="n"/>
      <c r="K169" s="7" t="n"/>
      <c r="L169" s="7" t="n"/>
      <c r="M169" s="7" t="n"/>
      <c r="N169" s="7" t="n"/>
      <c r="O169" s="7" t="n"/>
      <c r="P169" s="7" t="n"/>
    </row>
    <row r="170">
      <c r="A170" s="7" t="n"/>
      <c r="B170" s="7" t="n"/>
      <c r="C170" s="7" t="n"/>
      <c r="D170" s="7" t="n"/>
      <c r="E170" s="7" t="n"/>
      <c r="F170" s="7" t="n"/>
      <c r="G170" s="7" t="n"/>
      <c r="H170" s="7" t="n"/>
      <c r="I170" s="7" t="n"/>
      <c r="J170" s="7" t="n"/>
      <c r="K170" s="7" t="n"/>
      <c r="L170" s="7" t="n"/>
      <c r="M170" s="7" t="n"/>
      <c r="N170" s="7" t="n"/>
      <c r="O170" s="7" t="n"/>
      <c r="P170" s="7" t="n"/>
    </row>
    <row r="171">
      <c r="A171" s="7" t="n"/>
      <c r="B171" s="7" t="n"/>
      <c r="C171" s="7" t="n"/>
      <c r="D171" s="7" t="n"/>
      <c r="E171" s="7" t="n"/>
      <c r="F171" s="7" t="n"/>
      <c r="G171" s="7" t="n"/>
      <c r="H171" s="7" t="n"/>
      <c r="I171" s="7" t="n"/>
      <c r="J171" s="7" t="n"/>
      <c r="K171" s="7" t="n"/>
      <c r="L171" s="7" t="n"/>
      <c r="M171" s="7" t="n"/>
      <c r="N171" s="7" t="n"/>
      <c r="O171" s="7" t="n"/>
      <c r="P171" s="7" t="n"/>
    </row>
    <row r="172">
      <c r="A172" s="7" t="n"/>
      <c r="B172" s="7" t="n"/>
      <c r="C172" s="7" t="n"/>
      <c r="D172" s="7" t="n"/>
      <c r="E172" s="7" t="n"/>
      <c r="F172" s="7" t="n"/>
      <c r="G172" s="7" t="n"/>
      <c r="H172" s="7" t="n"/>
      <c r="I172" s="7" t="n"/>
      <c r="J172" s="7" t="n"/>
      <c r="K172" s="7" t="n"/>
      <c r="L172" s="7" t="n"/>
      <c r="M172" s="7" t="n"/>
      <c r="N172" s="7" t="n"/>
      <c r="O172" s="7" t="n"/>
      <c r="P172" s="7" t="n"/>
    </row>
    <row r="173">
      <c r="A173" s="7" t="n"/>
      <c r="B173" s="7" t="n"/>
      <c r="C173" s="7" t="n"/>
      <c r="D173" s="7" t="n"/>
      <c r="E173" s="7" t="n"/>
      <c r="F173" s="7" t="n"/>
      <c r="G173" s="7" t="n"/>
      <c r="H173" s="7" t="n"/>
      <c r="I173" s="7" t="n"/>
      <c r="J173" s="7" t="n"/>
      <c r="K173" s="7" t="n"/>
      <c r="L173" s="7" t="n"/>
      <c r="M173" s="7" t="n"/>
      <c r="N173" s="7" t="n"/>
      <c r="O173" s="7" t="n"/>
      <c r="P173" s="7" t="n"/>
    </row>
    <row r="174">
      <c r="A174" s="7" t="n"/>
      <c r="B174" s="7" t="n"/>
      <c r="C174" s="7" t="n"/>
      <c r="D174" s="7" t="n"/>
      <c r="E174" s="7" t="n"/>
      <c r="F174" s="7" t="n"/>
      <c r="G174" s="7" t="n"/>
      <c r="H174" s="7" t="n"/>
      <c r="I174" s="7" t="n"/>
      <c r="J174" s="7" t="n"/>
      <c r="K174" s="7" t="n"/>
      <c r="L174" s="7" t="n"/>
      <c r="M174" s="7" t="n"/>
      <c r="N174" s="7" t="n"/>
      <c r="O174" s="7" t="n"/>
      <c r="P174" s="7" t="n"/>
    </row>
    <row r="175">
      <c r="A175" s="7" t="n"/>
      <c r="B175" s="7" t="n"/>
      <c r="C175" s="7" t="n"/>
      <c r="D175" s="7" t="n"/>
      <c r="E175" s="7" t="n"/>
      <c r="F175" s="7" t="n"/>
      <c r="G175" s="7" t="n"/>
      <c r="H175" s="7" t="n"/>
      <c r="I175" s="7" t="n"/>
      <c r="J175" s="7" t="n"/>
      <c r="K175" s="7" t="n"/>
      <c r="L175" s="7" t="n"/>
      <c r="M175" s="7" t="n"/>
      <c r="N175" s="7" t="n"/>
      <c r="O175" s="7" t="n"/>
      <c r="P175" s="7" t="n"/>
    </row>
    <row r="176">
      <c r="A176" s="7" t="n"/>
      <c r="B176" s="7" t="n"/>
      <c r="C176" s="7" t="n"/>
      <c r="D176" s="7" t="n"/>
      <c r="E176" s="7" t="n"/>
      <c r="F176" s="7" t="n"/>
      <c r="G176" s="7" t="n"/>
      <c r="H176" s="7" t="n"/>
      <c r="I176" s="7" t="n"/>
      <c r="J176" s="7" t="n"/>
      <c r="K176" s="7" t="n"/>
      <c r="L176" s="7" t="n"/>
      <c r="M176" s="7" t="n"/>
      <c r="N176" s="7" t="n"/>
      <c r="O176" s="7" t="n"/>
      <c r="P176" s="7" t="n"/>
    </row>
    <row r="177">
      <c r="A177" s="7" t="n"/>
      <c r="B177" s="7" t="n"/>
      <c r="C177" s="7" t="n"/>
      <c r="D177" s="7" t="n"/>
      <c r="E177" s="7" t="n"/>
      <c r="F177" s="7" t="n"/>
      <c r="G177" s="7" t="n"/>
      <c r="H177" s="7" t="n"/>
      <c r="I177" s="7" t="n"/>
      <c r="J177" s="7" t="n"/>
      <c r="K177" s="7" t="n"/>
      <c r="L177" s="7" t="n"/>
      <c r="M177" s="7" t="n"/>
      <c r="N177" s="7" t="n"/>
      <c r="O177" s="7" t="n"/>
      <c r="P177" s="7" t="n"/>
    </row>
    <row r="178">
      <c r="A178" s="7" t="n"/>
      <c r="B178" s="7" t="n"/>
      <c r="C178" s="7" t="n"/>
      <c r="D178" s="7" t="n"/>
      <c r="E178" s="7" t="n"/>
      <c r="F178" s="7" t="n"/>
      <c r="G178" s="7" t="n"/>
      <c r="H178" s="7" t="n"/>
      <c r="I178" s="7" t="n"/>
      <c r="J178" s="7" t="n"/>
      <c r="K178" s="7" t="n"/>
      <c r="L178" s="7" t="n"/>
      <c r="M178" s="7" t="n"/>
      <c r="N178" s="7" t="n"/>
      <c r="O178" s="7" t="n"/>
      <c r="P178" s="7" t="n"/>
    </row>
    <row r="179">
      <c r="A179" s="7" t="n"/>
      <c r="B179" s="7" t="n"/>
      <c r="C179" s="7" t="n"/>
      <c r="D179" s="7" t="n"/>
      <c r="E179" s="7" t="n"/>
      <c r="F179" s="7" t="n"/>
      <c r="G179" s="7" t="n"/>
      <c r="H179" s="7" t="n"/>
      <c r="I179" s="7" t="n"/>
      <c r="J179" s="7" t="n"/>
      <c r="K179" s="7" t="n"/>
      <c r="L179" s="7" t="n"/>
      <c r="M179" s="7" t="n"/>
      <c r="N179" s="7" t="n"/>
      <c r="O179" s="7" t="n"/>
      <c r="P179" s="7" t="n"/>
    </row>
    <row r="180">
      <c r="A180" s="7" t="n"/>
      <c r="B180" s="7" t="n"/>
      <c r="C180" s="7" t="n"/>
      <c r="D180" s="7" t="n"/>
      <c r="E180" s="7" t="n"/>
      <c r="F180" s="7" t="n"/>
      <c r="G180" s="7" t="n"/>
      <c r="H180" s="7" t="n"/>
      <c r="I180" s="7" t="n"/>
      <c r="J180" s="7" t="n"/>
      <c r="K180" s="7" t="n"/>
      <c r="L180" s="7" t="n"/>
      <c r="M180" s="7" t="n"/>
      <c r="N180" s="7" t="n"/>
      <c r="O180" s="7" t="n"/>
      <c r="P180" s="7" t="n"/>
    </row>
    <row r="181">
      <c r="A181" s="7" t="n"/>
      <c r="B181" s="7" t="n"/>
      <c r="C181" s="7" t="n"/>
      <c r="D181" s="7" t="n"/>
      <c r="E181" s="7" t="n"/>
      <c r="F181" s="7" t="n"/>
      <c r="G181" s="7" t="n"/>
      <c r="H181" s="7" t="n"/>
      <c r="I181" s="7" t="n"/>
      <c r="J181" s="7" t="n"/>
      <c r="K181" s="7" t="n"/>
      <c r="L181" s="7" t="n"/>
      <c r="M181" s="7" t="n"/>
      <c r="N181" s="7" t="n"/>
      <c r="O181" s="7" t="n"/>
      <c r="P181" s="7" t="n"/>
    </row>
    <row r="182">
      <c r="A182" s="7" t="n"/>
      <c r="B182" s="7" t="n"/>
      <c r="C182" s="7" t="n"/>
      <c r="D182" s="7" t="n"/>
      <c r="E182" s="7" t="n"/>
      <c r="F182" s="7" t="n"/>
      <c r="G182" s="7" t="n"/>
      <c r="H182" s="7" t="n"/>
      <c r="I182" s="7" t="n"/>
      <c r="J182" s="7" t="n"/>
      <c r="K182" s="7" t="n"/>
      <c r="L182" s="7" t="n"/>
      <c r="M182" s="7" t="n"/>
      <c r="N182" s="7" t="n"/>
      <c r="O182" s="7" t="n"/>
      <c r="P182" s="7" t="n"/>
    </row>
    <row r="183">
      <c r="A183" s="7" t="n"/>
      <c r="B183" s="7" t="n"/>
      <c r="C183" s="7" t="n"/>
      <c r="D183" s="7" t="n"/>
      <c r="E183" s="7" t="n"/>
      <c r="F183" s="7" t="n"/>
      <c r="G183" s="7" t="n"/>
      <c r="H183" s="7" t="n"/>
      <c r="I183" s="7" t="n"/>
      <c r="J183" s="7" t="n"/>
      <c r="K183" s="7" t="n"/>
      <c r="L183" s="7" t="n"/>
      <c r="M183" s="7" t="n"/>
      <c r="N183" s="7" t="n"/>
      <c r="O183" s="7" t="n"/>
      <c r="P183" s="7" t="n"/>
    </row>
    <row r="184">
      <c r="A184" s="7" t="n"/>
      <c r="B184" s="7" t="n"/>
      <c r="C184" s="7" t="n"/>
      <c r="D184" s="7" t="n"/>
      <c r="E184" s="7" t="n"/>
      <c r="F184" s="7" t="n"/>
      <c r="G184" s="7" t="n"/>
      <c r="H184" s="7" t="n"/>
      <c r="I184" s="7" t="n"/>
      <c r="J184" s="7" t="n"/>
      <c r="K184" s="7" t="n"/>
      <c r="L184" s="7" t="n"/>
      <c r="M184" s="7" t="n"/>
      <c r="N184" s="7" t="n"/>
      <c r="O184" s="7" t="n"/>
      <c r="P184" s="7" t="n"/>
    </row>
    <row r="185">
      <c r="A185" s="7" t="n"/>
      <c r="B185" s="7" t="n"/>
      <c r="C185" s="7" t="n"/>
      <c r="D185" s="7" t="n"/>
      <c r="E185" s="7" t="n"/>
      <c r="F185" s="7" t="n"/>
      <c r="G185" s="7" t="n"/>
      <c r="H185" s="7" t="n"/>
      <c r="I185" s="7" t="n"/>
      <c r="J185" s="7" t="n"/>
      <c r="K185" s="7" t="n"/>
      <c r="L185" s="7" t="n"/>
      <c r="M185" s="7" t="n"/>
      <c r="N185" s="7" t="n"/>
      <c r="O185" s="7" t="n"/>
      <c r="P185" s="7" t="n"/>
    </row>
    <row r="186">
      <c r="A186" s="7" t="n"/>
      <c r="B186" s="7" t="n"/>
      <c r="C186" s="7" t="n"/>
      <c r="D186" s="7" t="n"/>
      <c r="E186" s="7" t="n"/>
      <c r="F186" s="7" t="n"/>
      <c r="G186" s="7" t="n"/>
      <c r="H186" s="7" t="n"/>
      <c r="I186" s="7" t="n"/>
      <c r="J186" s="7" t="n"/>
      <c r="K186" s="7" t="n"/>
      <c r="L186" s="7" t="n"/>
      <c r="M186" s="7" t="n"/>
      <c r="N186" s="7" t="n"/>
      <c r="O186" s="7" t="n"/>
      <c r="P186" s="7" t="n"/>
    </row>
    <row r="187">
      <c r="A187" s="7" t="n"/>
      <c r="B187" s="7" t="n"/>
      <c r="C187" s="7" t="n"/>
      <c r="D187" s="7" t="n"/>
      <c r="E187" s="7" t="n"/>
      <c r="F187" s="7" t="n"/>
      <c r="G187" s="7" t="n"/>
      <c r="H187" s="7" t="n"/>
      <c r="I187" s="7" t="n"/>
      <c r="J187" s="7" t="n"/>
      <c r="K187" s="7" t="n"/>
      <c r="L187" s="7" t="n"/>
      <c r="M187" s="7" t="n"/>
      <c r="N187" s="7" t="n"/>
      <c r="O187" s="7" t="n"/>
      <c r="P187" s="7" t="n"/>
    </row>
    <row r="188">
      <c r="A188" s="7" t="n"/>
      <c r="B188" s="7" t="n"/>
      <c r="C188" s="7" t="n"/>
      <c r="D188" s="7" t="n"/>
      <c r="E188" s="7" t="n"/>
      <c r="F188" s="7" t="n"/>
      <c r="G188" s="7" t="n"/>
      <c r="H188" s="7" t="n"/>
      <c r="I188" s="7" t="n"/>
      <c r="J188" s="7" t="n"/>
      <c r="K188" s="7" t="n"/>
      <c r="L188" s="7" t="n"/>
      <c r="M188" s="7" t="n"/>
      <c r="N188" s="7" t="n"/>
      <c r="O188" s="7" t="n"/>
      <c r="P188" s="7" t="n"/>
    </row>
    <row r="189">
      <c r="A189" s="7" t="n"/>
      <c r="B189" s="7" t="n"/>
      <c r="C189" s="7" t="n"/>
      <c r="D189" s="7" t="n"/>
      <c r="E189" s="7" t="n"/>
      <c r="F189" s="7" t="n"/>
      <c r="G189" s="7" t="n"/>
      <c r="H189" s="7" t="n"/>
      <c r="I189" s="7" t="n"/>
      <c r="J189" s="7" t="n"/>
      <c r="K189" s="7" t="n"/>
      <c r="L189" s="7" t="n"/>
      <c r="M189" s="7" t="n"/>
      <c r="N189" s="7" t="n"/>
      <c r="O189" s="7" t="n"/>
      <c r="P189" s="7" t="n"/>
    </row>
    <row r="190">
      <c r="A190" s="7" t="n"/>
      <c r="B190" s="7" t="n"/>
      <c r="C190" s="7" t="n"/>
      <c r="D190" s="7" t="n"/>
      <c r="E190" s="7" t="n"/>
      <c r="F190" s="7" t="n"/>
      <c r="G190" s="7" t="n"/>
      <c r="H190" s="7" t="n"/>
      <c r="I190" s="7" t="n"/>
      <c r="J190" s="7" t="n"/>
      <c r="K190" s="7" t="n"/>
      <c r="L190" s="7" t="n"/>
      <c r="M190" s="7" t="n"/>
      <c r="N190" s="7" t="n"/>
      <c r="O190" s="7" t="n"/>
      <c r="P190" s="7" t="n"/>
    </row>
    <row r="191">
      <c r="A191" s="7" t="n"/>
      <c r="B191" s="7" t="n"/>
      <c r="C191" s="7" t="n"/>
      <c r="D191" s="7" t="n"/>
      <c r="E191" s="7" t="n"/>
      <c r="F191" s="7" t="n"/>
      <c r="G191" s="7" t="n"/>
      <c r="H191" s="7" t="n"/>
      <c r="I191" s="7" t="n"/>
      <c r="J191" s="7" t="n"/>
      <c r="K191" s="7" t="n"/>
      <c r="L191" s="7" t="n"/>
      <c r="M191" s="7" t="n"/>
      <c r="N191" s="7" t="n"/>
      <c r="O191" s="7" t="n"/>
      <c r="P191" s="7" t="n"/>
    </row>
    <row r="192">
      <c r="A192" s="7" t="n"/>
      <c r="B192" s="7" t="n"/>
      <c r="C192" s="7" t="n"/>
      <c r="D192" s="7" t="n"/>
      <c r="E192" s="7" t="n"/>
      <c r="F192" s="7" t="n"/>
      <c r="G192" s="7" t="n"/>
      <c r="H192" s="7" t="n"/>
      <c r="I192" s="7" t="n"/>
      <c r="J192" s="7" t="n"/>
      <c r="K192" s="7" t="n"/>
      <c r="L192" s="7" t="n"/>
      <c r="M192" s="7" t="n"/>
      <c r="N192" s="7" t="n"/>
      <c r="O192" s="7" t="n"/>
      <c r="P192" s="7" t="n"/>
    </row>
    <row r="193">
      <c r="A193" s="7" t="n"/>
      <c r="B193" s="7" t="n"/>
      <c r="C193" s="7" t="n"/>
      <c r="D193" s="7" t="n"/>
      <c r="E193" s="7" t="n"/>
      <c r="F193" s="7" t="n"/>
      <c r="G193" s="7" t="n"/>
      <c r="H193" s="7" t="n"/>
      <c r="I193" s="7" t="n"/>
      <c r="J193" s="7" t="n"/>
      <c r="K193" s="7" t="n"/>
      <c r="L193" s="7" t="n"/>
      <c r="M193" s="7" t="n"/>
      <c r="N193" s="7" t="n"/>
      <c r="O193" s="7" t="n"/>
      <c r="P193" s="7" t="n"/>
    </row>
    <row r="194">
      <c r="A194" s="7" t="n"/>
      <c r="B194" s="7" t="n"/>
      <c r="C194" s="7" t="n"/>
      <c r="D194" s="7" t="n"/>
      <c r="E194" s="7" t="n"/>
      <c r="F194" s="7" t="n"/>
      <c r="G194" s="7" t="n"/>
      <c r="H194" s="7" t="n"/>
      <c r="I194" s="7" t="n"/>
      <c r="J194" s="7" t="n"/>
      <c r="K194" s="7" t="n"/>
      <c r="L194" s="7" t="n"/>
      <c r="M194" s="7" t="n"/>
      <c r="N194" s="7" t="n"/>
      <c r="O194" s="7" t="n"/>
      <c r="P194" s="7" t="n"/>
    </row>
    <row r="195">
      <c r="A195" s="7" t="n"/>
      <c r="B195" s="7" t="n"/>
      <c r="C195" s="7" t="n"/>
      <c r="D195" s="7" t="n"/>
      <c r="E195" s="7" t="n"/>
      <c r="F195" s="7" t="n"/>
      <c r="G195" s="7" t="n"/>
      <c r="H195" s="7" t="n"/>
      <c r="I195" s="7" t="n"/>
      <c r="J195" s="7" t="n"/>
      <c r="K195" s="7" t="n"/>
      <c r="L195" s="7" t="n"/>
      <c r="M195" s="7" t="n"/>
      <c r="N195" s="7" t="n"/>
      <c r="O195" s="7" t="n"/>
      <c r="P195" s="7" t="n"/>
    </row>
    <row r="196">
      <c r="A196" s="7" t="n"/>
      <c r="B196" s="7" t="n"/>
      <c r="C196" s="7" t="n"/>
      <c r="D196" s="7" t="n"/>
      <c r="E196" s="7" t="n"/>
      <c r="F196" s="7" t="n"/>
      <c r="G196" s="7" t="n"/>
      <c r="H196" s="7" t="n"/>
      <c r="I196" s="7" t="n"/>
      <c r="J196" s="7" t="n"/>
      <c r="K196" s="7" t="n"/>
      <c r="L196" s="7" t="n"/>
      <c r="M196" s="7" t="n"/>
      <c r="N196" s="7" t="n"/>
      <c r="O196" s="7" t="n"/>
      <c r="P196" s="7" t="n"/>
    </row>
    <row r="197">
      <c r="A197" s="7" t="n"/>
      <c r="B197" s="7" t="n"/>
      <c r="C197" s="7" t="n"/>
      <c r="D197" s="7" t="n"/>
      <c r="E197" s="7" t="n"/>
      <c r="F197" s="7" t="n"/>
      <c r="G197" s="7" t="n"/>
      <c r="H197" s="7" t="n"/>
      <c r="I197" s="7" t="n"/>
      <c r="J197" s="7" t="n"/>
      <c r="K197" s="7" t="n"/>
      <c r="L197" s="7" t="n"/>
      <c r="M197" s="7" t="n"/>
      <c r="N197" s="7" t="n"/>
      <c r="O197" s="7" t="n"/>
      <c r="P197" s="7" t="n"/>
    </row>
    <row r="198">
      <c r="A198" s="7" t="n"/>
      <c r="B198" s="7" t="n"/>
      <c r="C198" s="7" t="n"/>
      <c r="D198" s="7" t="n"/>
      <c r="E198" s="7" t="n"/>
      <c r="F198" s="7" t="n"/>
      <c r="G198" s="7" t="n"/>
      <c r="H198" s="7" t="n"/>
      <c r="I198" s="7" t="n"/>
      <c r="J198" s="7" t="n"/>
      <c r="K198" s="7" t="n"/>
      <c r="L198" s="7" t="n"/>
      <c r="M198" s="7" t="n"/>
      <c r="N198" s="7" t="n"/>
      <c r="O198" s="7" t="n"/>
      <c r="P198" s="7" t="n"/>
    </row>
    <row r="199">
      <c r="A199" s="7" t="n"/>
      <c r="B199" s="7" t="n"/>
      <c r="C199" s="7" t="n"/>
      <c r="D199" s="7" t="n"/>
      <c r="E199" s="7" t="n"/>
      <c r="F199" s="7" t="n"/>
      <c r="G199" s="7" t="n"/>
      <c r="H199" s="7" t="n"/>
      <c r="I199" s="7" t="n"/>
      <c r="J199" s="7" t="n"/>
      <c r="K199" s="7" t="n"/>
      <c r="L199" s="7" t="n"/>
      <c r="M199" s="7" t="n"/>
      <c r="N199" s="7" t="n"/>
      <c r="O199" s="7" t="n"/>
      <c r="P199" s="7" t="n"/>
    </row>
    <row r="200">
      <c r="A200" s="7" t="n"/>
      <c r="B200" s="7" t="n"/>
      <c r="C200" s="7" t="n"/>
      <c r="D200" s="7" t="n"/>
      <c r="E200" s="7" t="n"/>
      <c r="F200" s="7" t="n"/>
      <c r="G200" s="7" t="n"/>
      <c r="H200" s="7" t="n"/>
      <c r="I200" s="7" t="n"/>
      <c r="J200" s="7" t="n"/>
      <c r="K200" s="7" t="n"/>
      <c r="L200" s="7" t="n"/>
      <c r="M200" s="7" t="n"/>
      <c r="N200" s="7" t="n"/>
      <c r="O200" s="7" t="n"/>
      <c r="P200" s="7" t="n"/>
    </row>
    <row r="201">
      <c r="A201" s="7" t="n"/>
      <c r="B201" s="7" t="n"/>
      <c r="C201" s="7" t="n"/>
      <c r="D201" s="7" t="n"/>
      <c r="E201" s="7" t="n"/>
      <c r="F201" s="7" t="n"/>
      <c r="G201" s="7" t="n"/>
      <c r="H201" s="7" t="n"/>
      <c r="I201" s="7" t="n"/>
      <c r="J201" s="7" t="n"/>
      <c r="K201" s="7" t="n"/>
      <c r="L201" s="7" t="n"/>
      <c r="M201" s="7" t="n"/>
      <c r="N201" s="7" t="n"/>
      <c r="O201" s="7" t="n"/>
      <c r="P201" s="7" t="n"/>
    </row>
    <row r="202">
      <c r="A202" s="7" t="n"/>
      <c r="B202" s="7" t="n"/>
      <c r="C202" s="7" t="n"/>
      <c r="D202" s="7" t="n"/>
      <c r="E202" s="7" t="n"/>
      <c r="F202" s="7" t="n"/>
      <c r="G202" s="7" t="n"/>
      <c r="H202" s="7" t="n"/>
      <c r="I202" s="7" t="n"/>
      <c r="J202" s="7" t="n"/>
      <c r="K202" s="7" t="n"/>
      <c r="L202" s="7" t="n"/>
      <c r="M202" s="7" t="n"/>
      <c r="N202" s="7" t="n"/>
      <c r="O202" s="7" t="n"/>
      <c r="P202" s="7" t="n"/>
    </row>
    <row r="203">
      <c r="A203" s="7" t="n"/>
      <c r="B203" s="7" t="n"/>
      <c r="C203" s="7" t="n"/>
      <c r="D203" s="7" t="n"/>
      <c r="E203" s="7" t="n"/>
      <c r="F203" s="7" t="n"/>
      <c r="G203" s="7" t="n"/>
      <c r="H203" s="7" t="n"/>
      <c r="I203" s="7" t="n"/>
      <c r="J203" s="7" t="n"/>
      <c r="K203" s="7" t="n"/>
      <c r="L203" s="7" t="n"/>
      <c r="M203" s="7" t="n"/>
      <c r="N203" s="7" t="n"/>
      <c r="O203" s="7" t="n"/>
      <c r="P203" s="7" t="n"/>
    </row>
    <row r="204">
      <c r="A204" s="7" t="n"/>
      <c r="B204" s="7" t="n"/>
      <c r="C204" s="7" t="n"/>
      <c r="D204" s="7" t="n"/>
      <c r="E204" s="7" t="n"/>
      <c r="F204" s="7" t="n"/>
      <c r="G204" s="7" t="n"/>
      <c r="H204" s="7" t="n"/>
      <c r="I204" s="7" t="n"/>
      <c r="J204" s="7" t="n"/>
      <c r="K204" s="7" t="n"/>
      <c r="L204" s="7" t="n"/>
      <c r="M204" s="7" t="n"/>
      <c r="N204" s="7" t="n"/>
      <c r="O204" s="7" t="n"/>
      <c r="P204" s="7" t="n"/>
    </row>
    <row r="205">
      <c r="A205" s="7" t="n"/>
      <c r="B205" s="7" t="n"/>
      <c r="C205" s="7" t="n"/>
      <c r="D205" s="7" t="n"/>
      <c r="E205" s="7" t="n"/>
      <c r="F205" s="7" t="n"/>
      <c r="G205" s="7" t="n"/>
      <c r="H205" s="7" t="n"/>
      <c r="I205" s="7" t="n"/>
      <c r="J205" s="7" t="n"/>
      <c r="K205" s="7" t="n"/>
      <c r="L205" s="7" t="n"/>
      <c r="M205" s="7" t="n"/>
      <c r="N205" s="7" t="n"/>
      <c r="O205" s="7" t="n"/>
      <c r="P205" s="7" t="n"/>
    </row>
    <row r="206">
      <c r="A206" s="7" t="n"/>
      <c r="B206" s="7" t="n"/>
      <c r="C206" s="7" t="n"/>
      <c r="D206" s="7" t="n"/>
      <c r="E206" s="7" t="n"/>
      <c r="F206" s="7" t="n"/>
      <c r="G206" s="7" t="n"/>
      <c r="H206" s="7" t="n"/>
      <c r="I206" s="7" t="n"/>
      <c r="J206" s="7" t="n"/>
      <c r="K206" s="7" t="n"/>
      <c r="L206" s="7" t="n"/>
      <c r="M206" s="7" t="n"/>
      <c r="N206" s="7" t="n"/>
      <c r="O206" s="7" t="n"/>
      <c r="P206" s="7" t="n"/>
    </row>
    <row r="207">
      <c r="A207" s="7" t="n"/>
      <c r="B207" s="7" t="n"/>
      <c r="C207" s="7" t="n"/>
      <c r="D207" s="7" t="n"/>
      <c r="E207" s="7" t="n"/>
      <c r="F207" s="7" t="n"/>
      <c r="G207" s="7" t="n"/>
      <c r="H207" s="7" t="n"/>
      <c r="I207" s="7" t="n"/>
      <c r="J207" s="7" t="n"/>
      <c r="K207" s="7" t="n"/>
      <c r="L207" s="7" t="n"/>
      <c r="M207" s="7" t="n"/>
      <c r="N207" s="7" t="n"/>
      <c r="O207" s="7" t="n"/>
      <c r="P207" s="7" t="n"/>
    </row>
    <row r="208">
      <c r="A208" s="7" t="n"/>
      <c r="B208" s="7" t="n"/>
      <c r="C208" s="7" t="n"/>
      <c r="D208" s="7" t="n"/>
      <c r="E208" s="7" t="n"/>
      <c r="F208" s="7" t="n"/>
      <c r="G208" s="7" t="n"/>
      <c r="H208" s="7" t="n"/>
      <c r="I208" s="7" t="n"/>
      <c r="J208" s="7" t="n"/>
      <c r="K208" s="7" t="n"/>
      <c r="L208" s="7" t="n"/>
      <c r="M208" s="7" t="n"/>
      <c r="N208" s="7" t="n"/>
      <c r="O208" s="7" t="n"/>
      <c r="P208" s="7" t="n"/>
    </row>
    <row r="209">
      <c r="A209" s="7" t="n"/>
      <c r="B209" s="7" t="n"/>
      <c r="C209" s="7" t="n"/>
      <c r="D209" s="7" t="n"/>
      <c r="E209" s="7" t="n"/>
      <c r="F209" s="7" t="n"/>
      <c r="G209" s="7" t="n"/>
      <c r="H209" s="7" t="n"/>
      <c r="I209" s="7" t="n"/>
      <c r="J209" s="7" t="n"/>
      <c r="K209" s="7" t="n"/>
      <c r="L209" s="7" t="n"/>
      <c r="M209" s="7" t="n"/>
      <c r="N209" s="7" t="n"/>
      <c r="O209" s="7" t="n"/>
      <c r="P209" s="7" t="n"/>
    </row>
    <row r="210">
      <c r="A210" s="7" t="n"/>
      <c r="B210" s="7" t="n"/>
      <c r="C210" s="7" t="n"/>
      <c r="D210" s="7" t="n"/>
      <c r="E210" s="7" t="n"/>
      <c r="F210" s="7" t="n"/>
      <c r="G210" s="7" t="n"/>
      <c r="H210" s="7" t="n"/>
      <c r="I210" s="7" t="n"/>
      <c r="J210" s="7" t="n"/>
      <c r="K210" s="7" t="n"/>
      <c r="L210" s="7" t="n"/>
      <c r="M210" s="7" t="n"/>
      <c r="N210" s="7" t="n"/>
      <c r="O210" s="7" t="n"/>
      <c r="P210" s="7" t="n"/>
    </row>
    <row r="211">
      <c r="A211" s="7" t="n"/>
      <c r="B211" s="7" t="n"/>
      <c r="C211" s="7" t="n"/>
      <c r="D211" s="7" t="n"/>
      <c r="E211" s="7" t="n"/>
      <c r="F211" s="7" t="n"/>
      <c r="G211" s="7" t="n"/>
      <c r="H211" s="7" t="n"/>
      <c r="I211" s="7" t="n"/>
      <c r="J211" s="7" t="n"/>
      <c r="K211" s="7" t="n"/>
      <c r="L211" s="7" t="n"/>
      <c r="M211" s="7" t="n"/>
      <c r="N211" s="7" t="n"/>
      <c r="O211" s="7" t="n"/>
      <c r="P211" s="7" t="n"/>
    </row>
    <row r="212">
      <c r="A212" s="7" t="n"/>
      <c r="B212" s="7" t="n"/>
      <c r="C212" s="7" t="n"/>
      <c r="D212" s="7" t="n"/>
      <c r="E212" s="7" t="n"/>
      <c r="F212" s="7" t="n"/>
      <c r="G212" s="7" t="n"/>
      <c r="H212" s="7" t="n"/>
      <c r="I212" s="7" t="n"/>
      <c r="J212" s="7" t="n"/>
      <c r="K212" s="7" t="n"/>
      <c r="L212" s="7" t="n"/>
      <c r="M212" s="7" t="n"/>
      <c r="N212" s="7" t="n"/>
      <c r="O212" s="7" t="n"/>
      <c r="P212" s="7" t="n"/>
    </row>
    <row r="213">
      <c r="A213" s="7" t="n"/>
      <c r="B213" s="7" t="n"/>
      <c r="C213" s="7" t="n"/>
      <c r="D213" s="7" t="n"/>
      <c r="E213" s="7" t="n"/>
      <c r="F213" s="7" t="n"/>
      <c r="G213" s="7" t="n"/>
      <c r="H213" s="7" t="n"/>
      <c r="I213" s="7" t="n"/>
      <c r="J213" s="7" t="n"/>
      <c r="K213" s="7" t="n"/>
      <c r="L213" s="7" t="n"/>
      <c r="M213" s="7" t="n"/>
      <c r="N213" s="7" t="n"/>
      <c r="O213" s="7" t="n"/>
      <c r="P213" s="7" t="n"/>
    </row>
    <row r="214">
      <c r="A214" s="7" t="n"/>
      <c r="B214" s="7" t="n"/>
      <c r="C214" s="7" t="n"/>
      <c r="D214" s="7" t="n"/>
      <c r="E214" s="7" t="n"/>
      <c r="F214" s="7" t="n"/>
      <c r="G214" s="7" t="n"/>
      <c r="H214" s="7" t="n"/>
      <c r="I214" s="7" t="n"/>
      <c r="J214" s="7" t="n"/>
      <c r="K214" s="7" t="n"/>
      <c r="L214" s="7" t="n"/>
      <c r="M214" s="7" t="n"/>
      <c r="N214" s="7" t="n"/>
      <c r="O214" s="7" t="n"/>
      <c r="P214" s="7" t="n"/>
    </row>
    <row r="215">
      <c r="A215" s="7" t="n"/>
      <c r="B215" s="7" t="n"/>
      <c r="C215" s="7" t="n"/>
      <c r="D215" s="7" t="n"/>
      <c r="E215" s="7" t="n"/>
      <c r="F215" s="7" t="n"/>
      <c r="G215" s="7" t="n"/>
      <c r="H215" s="7" t="n"/>
      <c r="I215" s="7" t="n"/>
      <c r="J215" s="7" t="n"/>
      <c r="K215" s="7" t="n"/>
      <c r="L215" s="7" t="n"/>
      <c r="M215" s="7" t="n"/>
      <c r="N215" s="7" t="n"/>
      <c r="O215" s="7" t="n"/>
      <c r="P215" s="7" t="n"/>
    </row>
    <row r="216">
      <c r="A216" s="7" t="n"/>
      <c r="B216" s="7" t="n"/>
      <c r="C216" s="7" t="n"/>
      <c r="D216" s="7" t="n"/>
      <c r="E216" s="7" t="n"/>
      <c r="F216" s="7" t="n"/>
      <c r="G216" s="7" t="n"/>
      <c r="H216" s="7" t="n"/>
      <c r="I216" s="7" t="n"/>
      <c r="J216" s="7" t="n"/>
      <c r="K216" s="7" t="n"/>
      <c r="L216" s="7" t="n"/>
      <c r="M216" s="7" t="n"/>
      <c r="N216" s="7" t="n"/>
      <c r="O216" s="7" t="n"/>
      <c r="P216" s="7" t="n"/>
    </row>
    <row r="217">
      <c r="A217" s="7" t="n"/>
      <c r="B217" s="7" t="n"/>
      <c r="C217" s="7" t="n"/>
      <c r="D217" s="7" t="n"/>
      <c r="E217" s="7" t="n"/>
      <c r="F217" s="7" t="n"/>
      <c r="G217" s="7" t="n"/>
      <c r="H217" s="7" t="n"/>
      <c r="I217" s="7" t="n"/>
      <c r="J217" s="7" t="n"/>
      <c r="K217" s="7" t="n"/>
      <c r="L217" s="7" t="n"/>
      <c r="M217" s="7" t="n"/>
      <c r="N217" s="7" t="n"/>
      <c r="O217" s="7" t="n"/>
      <c r="P217" s="7" t="n"/>
    </row>
    <row r="218">
      <c r="A218" s="7" t="n"/>
      <c r="B218" s="7" t="n"/>
      <c r="C218" s="7" t="n"/>
      <c r="D218" s="7" t="n"/>
      <c r="E218" s="7" t="n"/>
      <c r="F218" s="7" t="n"/>
      <c r="G218" s="7" t="n"/>
      <c r="H218" s="7" t="n"/>
      <c r="I218" s="7" t="n"/>
      <c r="J218" s="7" t="n"/>
      <c r="K218" s="7" t="n"/>
      <c r="L218" s="7" t="n"/>
      <c r="M218" s="7" t="n"/>
      <c r="N218" s="7" t="n"/>
      <c r="O218" s="7" t="n"/>
      <c r="P218" s="7" t="n"/>
    </row>
    <row r="219">
      <c r="A219" s="7" t="n"/>
      <c r="B219" s="7" t="n"/>
      <c r="C219" s="7" t="n"/>
      <c r="D219" s="7" t="n"/>
      <c r="E219" s="7" t="n"/>
      <c r="F219" s="7" t="n"/>
      <c r="G219" s="7" t="n"/>
      <c r="H219" s="7" t="n"/>
      <c r="I219" s="7" t="n"/>
      <c r="J219" s="7" t="n"/>
      <c r="K219" s="7" t="n"/>
      <c r="L219" s="7" t="n"/>
      <c r="M219" s="7" t="n"/>
      <c r="N219" s="7" t="n"/>
      <c r="O219" s="7" t="n"/>
      <c r="P219" s="7" t="n"/>
    </row>
    <row r="220">
      <c r="A220" s="7" t="n"/>
      <c r="B220" s="7" t="n"/>
      <c r="C220" s="7" t="n"/>
      <c r="D220" s="7" t="n"/>
      <c r="E220" s="7" t="n"/>
      <c r="F220" s="7" t="n"/>
      <c r="G220" s="7" t="n"/>
      <c r="H220" s="7" t="n"/>
      <c r="I220" s="7" t="n"/>
      <c r="J220" s="7" t="n"/>
      <c r="K220" s="7" t="n"/>
      <c r="L220" s="7" t="n"/>
      <c r="M220" s="7" t="n"/>
      <c r="N220" s="7" t="n"/>
      <c r="O220" s="7" t="n"/>
      <c r="P220" s="7" t="n"/>
    </row>
    <row r="221">
      <c r="A221" s="7" t="n"/>
      <c r="B221" s="7" t="n"/>
      <c r="C221" s="7" t="n"/>
      <c r="D221" s="7" t="n"/>
      <c r="E221" s="7" t="n"/>
      <c r="F221" s="7" t="n"/>
      <c r="G221" s="7" t="n"/>
      <c r="H221" s="7" t="n"/>
      <c r="I221" s="7" t="n"/>
      <c r="J221" s="7" t="n"/>
      <c r="K221" s="7" t="n"/>
      <c r="L221" s="7" t="n"/>
      <c r="M221" s="7" t="n"/>
      <c r="N221" s="7" t="n"/>
      <c r="O221" s="7" t="n"/>
      <c r="P221" s="7" t="n"/>
    </row>
    <row r="222">
      <c r="A222" s="7" t="n"/>
      <c r="B222" s="7" t="n"/>
      <c r="C222" s="7" t="n"/>
      <c r="D222" s="7" t="n"/>
      <c r="E222" s="7" t="n"/>
      <c r="F222" s="7" t="n"/>
      <c r="G222" s="7" t="n"/>
      <c r="H222" s="7" t="n"/>
      <c r="I222" s="7" t="n"/>
      <c r="J222" s="7" t="n"/>
      <c r="K222" s="7" t="n"/>
      <c r="L222" s="7" t="n"/>
      <c r="M222" s="7" t="n"/>
      <c r="N222" s="7" t="n"/>
      <c r="O222" s="7" t="n"/>
      <c r="P222" s="7" t="n"/>
    </row>
    <row r="223">
      <c r="A223" s="7" t="n"/>
      <c r="B223" s="7" t="n"/>
      <c r="C223" s="7" t="n"/>
      <c r="D223" s="7" t="n"/>
      <c r="E223" s="7" t="n"/>
      <c r="F223" s="7" t="n"/>
      <c r="G223" s="7" t="n"/>
      <c r="H223" s="7" t="n"/>
      <c r="I223" s="7" t="n"/>
      <c r="J223" s="7" t="n"/>
      <c r="K223" s="7" t="n"/>
      <c r="L223" s="7" t="n"/>
      <c r="M223" s="7" t="n"/>
      <c r="N223" s="7" t="n"/>
      <c r="O223" s="7" t="n"/>
      <c r="P223" s="7" t="n"/>
    </row>
    <row r="224">
      <c r="A224" s="7" t="n"/>
      <c r="B224" s="7" t="n"/>
      <c r="C224" s="7" t="n"/>
      <c r="D224" s="7" t="n"/>
      <c r="E224" s="7" t="n"/>
      <c r="F224" s="7" t="n"/>
      <c r="G224" s="7" t="n"/>
      <c r="H224" s="7" t="n"/>
      <c r="I224" s="7" t="n"/>
      <c r="J224" s="7" t="n"/>
      <c r="K224" s="7" t="n"/>
      <c r="L224" s="7" t="n"/>
      <c r="M224" s="7" t="n"/>
      <c r="N224" s="7" t="n"/>
      <c r="O224" s="7" t="n"/>
      <c r="P224" s="7" t="n"/>
    </row>
    <row r="225">
      <c r="A225" s="7" t="n"/>
      <c r="B225" s="7" t="n"/>
      <c r="C225" s="7" t="n"/>
      <c r="D225" s="7" t="n"/>
      <c r="E225" s="7" t="n"/>
      <c r="F225" s="7" t="n"/>
      <c r="G225" s="7" t="n"/>
      <c r="H225" s="7" t="n"/>
      <c r="I225" s="7" t="n"/>
      <c r="J225" s="7" t="n"/>
      <c r="K225" s="7" t="n"/>
      <c r="L225" s="7" t="n"/>
      <c r="M225" s="7" t="n"/>
      <c r="N225" s="7" t="n"/>
      <c r="O225" s="7" t="n"/>
      <c r="P225" s="7" t="n"/>
    </row>
    <row r="226">
      <c r="A226" s="7" t="n"/>
      <c r="B226" s="7" t="n"/>
      <c r="C226" s="7" t="n"/>
      <c r="D226" s="7" t="n"/>
      <c r="E226" s="7" t="n"/>
      <c r="F226" s="7" t="n"/>
      <c r="G226" s="7" t="n"/>
      <c r="H226" s="7" t="n"/>
      <c r="I226" s="7" t="n"/>
      <c r="J226" s="7" t="n"/>
      <c r="K226" s="7" t="n"/>
      <c r="L226" s="7" t="n"/>
      <c r="M226" s="7" t="n"/>
      <c r="N226" s="7" t="n"/>
      <c r="O226" s="7" t="n"/>
      <c r="P226" s="7" t="n"/>
    </row>
    <row r="227">
      <c r="A227" s="7" t="n"/>
      <c r="B227" s="7" t="n"/>
      <c r="C227" s="7" t="n"/>
      <c r="D227" s="7" t="n"/>
      <c r="E227" s="7" t="n"/>
      <c r="F227" s="7" t="n"/>
      <c r="G227" s="7" t="n"/>
      <c r="H227" s="7" t="n"/>
      <c r="I227" s="7" t="n"/>
      <c r="J227" s="7" t="n"/>
      <c r="K227" s="7" t="n"/>
      <c r="L227" s="7" t="n"/>
      <c r="M227" s="7" t="n"/>
      <c r="N227" s="7" t="n"/>
      <c r="O227" s="7" t="n"/>
      <c r="P227" s="7" t="n"/>
    </row>
    <row r="228">
      <c r="A228" s="7" t="n"/>
      <c r="B228" s="7" t="n"/>
      <c r="C228" s="7" t="n"/>
      <c r="D228" s="7" t="n"/>
      <c r="E228" s="7" t="n"/>
      <c r="F228" s="7" t="n"/>
      <c r="G228" s="7" t="n"/>
      <c r="H228" s="7" t="n"/>
      <c r="I228" s="7" t="n"/>
      <c r="J228" s="7" t="n"/>
      <c r="K228" s="7" t="n"/>
      <c r="L228" s="7" t="n"/>
      <c r="M228" s="7" t="n"/>
      <c r="N228" s="7" t="n"/>
      <c r="O228" s="7" t="n"/>
      <c r="P228" s="7" t="n"/>
    </row>
    <row r="229">
      <c r="A229" s="7" t="n"/>
      <c r="B229" s="7" t="n"/>
      <c r="C229" s="7" t="n"/>
      <c r="D229" s="7" t="n"/>
      <c r="E229" s="7" t="n"/>
      <c r="F229" s="7" t="n"/>
      <c r="G229" s="7" t="n"/>
      <c r="H229" s="7" t="n"/>
      <c r="I229" s="7" t="n"/>
      <c r="J229" s="7" t="n"/>
      <c r="K229" s="7" t="n"/>
      <c r="L229" s="7" t="n"/>
      <c r="M229" s="7" t="n"/>
      <c r="N229" s="7" t="n"/>
      <c r="O229" s="7" t="n"/>
      <c r="P229" s="7" t="n"/>
    </row>
    <row r="230">
      <c r="A230" s="7" t="n"/>
      <c r="B230" s="7" t="n"/>
      <c r="C230" s="7" t="n"/>
      <c r="D230" s="7" t="n"/>
      <c r="E230" s="7" t="n"/>
      <c r="F230" s="7" t="n"/>
      <c r="G230" s="7" t="n"/>
      <c r="H230" s="7" t="n"/>
      <c r="I230" s="7" t="n"/>
      <c r="J230" s="7" t="n"/>
      <c r="K230" s="7" t="n"/>
      <c r="L230" s="7" t="n"/>
      <c r="M230" s="7" t="n"/>
      <c r="N230" s="7" t="n"/>
      <c r="O230" s="7" t="n"/>
      <c r="P230" s="7" t="n"/>
    </row>
    <row r="231">
      <c r="A231" s="7" t="n"/>
      <c r="B231" s="7" t="n"/>
      <c r="C231" s="7" t="n"/>
      <c r="D231" s="7" t="n"/>
      <c r="E231" s="7" t="n"/>
      <c r="F231" s="7" t="n"/>
      <c r="G231" s="7" t="n"/>
      <c r="H231" s="7" t="n"/>
      <c r="I231" s="7" t="n"/>
      <c r="J231" s="7" t="n"/>
      <c r="K231" s="7" t="n"/>
      <c r="L231" s="7" t="n"/>
      <c r="M231" s="7" t="n"/>
      <c r="N231" s="7" t="n"/>
      <c r="O231" s="7" t="n"/>
      <c r="P231" s="7" t="n"/>
    </row>
    <row r="232">
      <c r="A232" s="7" t="n"/>
      <c r="B232" s="7" t="n"/>
      <c r="C232" s="7" t="n"/>
      <c r="D232" s="7" t="n"/>
      <c r="E232" s="7" t="n"/>
      <c r="F232" s="7" t="n"/>
      <c r="G232" s="7" t="n"/>
      <c r="H232" s="7" t="n"/>
      <c r="I232" s="7" t="n"/>
      <c r="J232" s="7" t="n"/>
      <c r="K232" s="7" t="n"/>
      <c r="L232" s="7" t="n"/>
      <c r="M232" s="7" t="n"/>
      <c r="N232" s="7" t="n"/>
      <c r="O232" s="7" t="n"/>
      <c r="P232" s="7" t="n"/>
    </row>
    <row r="233">
      <c r="A233" s="7" t="n"/>
      <c r="B233" s="7" t="n"/>
      <c r="C233" s="7" t="n"/>
      <c r="D233" s="7" t="n"/>
      <c r="E233" s="7" t="n"/>
      <c r="F233" s="7" t="n"/>
      <c r="G233" s="7" t="n"/>
      <c r="H233" s="7" t="n"/>
      <c r="I233" s="7" t="n"/>
      <c r="J233" s="7" t="n"/>
      <c r="K233" s="7" t="n"/>
      <c r="L233" s="7" t="n"/>
      <c r="M233" s="7" t="n"/>
      <c r="N233" s="7" t="n"/>
      <c r="O233" s="7" t="n"/>
      <c r="P233" s="7" t="n"/>
    </row>
    <row r="234">
      <c r="A234" s="7" t="n"/>
      <c r="B234" s="7" t="n"/>
      <c r="C234" s="7" t="n"/>
      <c r="D234" s="7" t="n"/>
      <c r="E234" s="7" t="n"/>
      <c r="F234" s="7" t="n"/>
      <c r="G234" s="7" t="n"/>
      <c r="H234" s="7" t="n"/>
      <c r="I234" s="7" t="n"/>
      <c r="J234" s="7" t="n"/>
      <c r="K234" s="7" t="n"/>
      <c r="L234" s="7" t="n"/>
      <c r="M234" s="7" t="n"/>
      <c r="N234" s="7" t="n"/>
      <c r="O234" s="7" t="n"/>
      <c r="P234" s="7" t="n"/>
    </row>
    <row r="235">
      <c r="A235" s="7" t="n"/>
      <c r="B235" s="7" t="n"/>
      <c r="C235" s="7" t="n"/>
      <c r="D235" s="7" t="n"/>
      <c r="E235" s="7" t="n"/>
      <c r="F235" s="7" t="n"/>
      <c r="G235" s="7" t="n"/>
      <c r="H235" s="7" t="n"/>
      <c r="I235" s="7" t="n"/>
      <c r="J235" s="7" t="n"/>
      <c r="K235" s="7" t="n"/>
      <c r="L235" s="7" t="n"/>
      <c r="M235" s="7" t="n"/>
      <c r="N235" s="7" t="n"/>
      <c r="O235" s="7" t="n"/>
      <c r="P235" s="7" t="n"/>
    </row>
    <row r="236">
      <c r="A236" s="7" t="n"/>
      <c r="B236" s="7" t="n"/>
      <c r="C236" s="7" t="n"/>
      <c r="D236" s="7" t="n"/>
      <c r="E236" s="7" t="n"/>
      <c r="F236" s="7" t="n"/>
      <c r="G236" s="7" t="n"/>
      <c r="H236" s="7" t="n"/>
      <c r="I236" s="7" t="n"/>
      <c r="J236" s="7" t="n"/>
      <c r="K236" s="7" t="n"/>
      <c r="L236" s="7" t="n"/>
      <c r="M236" s="7" t="n"/>
      <c r="N236" s="7" t="n"/>
      <c r="O236" s="7" t="n"/>
      <c r="P236" s="7" t="n"/>
    </row>
    <row r="237">
      <c r="A237" s="7" t="n"/>
      <c r="B237" s="7" t="n"/>
      <c r="C237" s="7" t="n"/>
      <c r="D237" s="7" t="n"/>
      <c r="E237" s="7" t="n"/>
      <c r="F237" s="7" t="n"/>
      <c r="G237" s="7" t="n"/>
      <c r="H237" s="7" t="n"/>
      <c r="I237" s="7" t="n"/>
      <c r="J237" s="7" t="n"/>
      <c r="K237" s="7" t="n"/>
      <c r="L237" s="7" t="n"/>
      <c r="M237" s="7" t="n"/>
      <c r="N237" s="7" t="n"/>
      <c r="O237" s="7" t="n"/>
      <c r="P237" s="7" t="n"/>
    </row>
    <row r="238">
      <c r="A238" s="7" t="n"/>
      <c r="B238" s="7" t="n"/>
      <c r="C238" s="7" t="n"/>
      <c r="D238" s="7" t="n"/>
      <c r="E238" s="7" t="n"/>
      <c r="F238" s="7" t="n"/>
      <c r="G238" s="7" t="n"/>
      <c r="H238" s="7" t="n"/>
      <c r="I238" s="7" t="n"/>
      <c r="J238" s="7" t="n"/>
      <c r="K238" s="7" t="n"/>
      <c r="L238" s="7" t="n"/>
      <c r="M238" s="7" t="n"/>
      <c r="N238" s="7" t="n"/>
      <c r="O238" s="7" t="n"/>
      <c r="P238" s="7" t="n"/>
    </row>
    <row r="239">
      <c r="A239" s="7" t="n"/>
      <c r="B239" s="7" t="n"/>
      <c r="C239" s="7" t="n"/>
      <c r="D239" s="7" t="n"/>
      <c r="E239" s="7" t="n"/>
      <c r="F239" s="7" t="n"/>
      <c r="G239" s="7" t="n"/>
      <c r="H239" s="7" t="n"/>
      <c r="I239" s="7" t="n"/>
      <c r="J239" s="7" t="n"/>
      <c r="K239" s="7" t="n"/>
      <c r="L239" s="7" t="n"/>
      <c r="M239" s="7" t="n"/>
      <c r="N239" s="7" t="n"/>
      <c r="O239" s="7" t="n"/>
      <c r="P239" s="7" t="n"/>
    </row>
    <row r="240">
      <c r="A240" s="7" t="n"/>
      <c r="B240" s="7" t="n"/>
      <c r="C240" s="7" t="n"/>
      <c r="D240" s="7" t="n"/>
      <c r="E240" s="7" t="n"/>
      <c r="F240" s="7" t="n"/>
      <c r="G240" s="7" t="n"/>
      <c r="H240" s="7" t="n"/>
      <c r="I240" s="7" t="n"/>
      <c r="J240" s="7" t="n"/>
      <c r="K240" s="7" t="n"/>
      <c r="L240" s="7" t="n"/>
      <c r="M240" s="7" t="n"/>
      <c r="N240" s="7" t="n"/>
      <c r="O240" s="7" t="n"/>
      <c r="P240" s="7" t="n"/>
    </row>
    <row r="241">
      <c r="A241" s="7" t="n"/>
      <c r="B241" s="7" t="n"/>
      <c r="C241" s="7" t="n"/>
      <c r="D241" s="7" t="n"/>
      <c r="E241" s="7" t="n"/>
      <c r="F241" s="7" t="n"/>
      <c r="G241" s="7" t="n"/>
      <c r="H241" s="7" t="n"/>
      <c r="I241" s="7" t="n"/>
      <c r="J241" s="7" t="n"/>
      <c r="K241" s="7" t="n"/>
      <c r="L241" s="7" t="n"/>
      <c r="M241" s="7" t="n"/>
      <c r="N241" s="7" t="n"/>
      <c r="O241" s="7" t="n"/>
      <c r="P241" s="7" t="n"/>
    </row>
    <row r="242">
      <c r="A242" s="7" t="n"/>
      <c r="B242" s="7" t="n"/>
      <c r="C242" s="7" t="n"/>
      <c r="D242" s="7" t="n"/>
      <c r="E242" s="7" t="n"/>
      <c r="F242" s="7" t="n"/>
      <c r="G242" s="7" t="n"/>
      <c r="H242" s="7" t="n"/>
      <c r="I242" s="7" t="n"/>
      <c r="J242" s="7" t="n"/>
      <c r="K242" s="7" t="n"/>
      <c r="L242" s="7" t="n"/>
      <c r="M242" s="7" t="n"/>
      <c r="N242" s="7" t="n"/>
      <c r="O242" s="7" t="n"/>
      <c r="P242" s="7" t="n"/>
    </row>
    <row r="243">
      <c r="A243" s="7" t="n"/>
      <c r="B243" s="7" t="n"/>
      <c r="C243" s="7" t="n"/>
      <c r="D243" s="7" t="n"/>
      <c r="E243" s="7" t="n"/>
      <c r="F243" s="7" t="n"/>
      <c r="G243" s="7" t="n"/>
      <c r="H243" s="7" t="n"/>
      <c r="I243" s="7" t="n"/>
      <c r="J243" s="7" t="n"/>
      <c r="K243" s="7" t="n"/>
      <c r="L243" s="7" t="n"/>
      <c r="M243" s="7" t="n"/>
      <c r="N243" s="7" t="n"/>
      <c r="O243" s="7" t="n"/>
      <c r="P243" s="7" t="n"/>
    </row>
    <row r="244">
      <c r="A244" s="7" t="n"/>
      <c r="B244" s="7" t="n"/>
      <c r="C244" s="7" t="n"/>
      <c r="D244" s="7" t="n"/>
      <c r="E244" s="7" t="n"/>
      <c r="F244" s="7" t="n"/>
      <c r="G244" s="7" t="n"/>
      <c r="H244" s="7" t="n"/>
      <c r="I244" s="7" t="n"/>
      <c r="J244" s="7" t="n"/>
      <c r="K244" s="7" t="n"/>
      <c r="L244" s="7" t="n"/>
      <c r="M244" s="7" t="n"/>
      <c r="N244" s="7" t="n"/>
      <c r="O244" s="7" t="n"/>
      <c r="P244" s="7" t="n"/>
    </row>
    <row r="245">
      <c r="A245" s="7" t="n"/>
      <c r="B245" s="7" t="n"/>
      <c r="C245" s="7" t="n"/>
      <c r="D245" s="7" t="n"/>
      <c r="E245" s="7" t="n"/>
      <c r="F245" s="7" t="n"/>
      <c r="G245" s="7" t="n"/>
      <c r="H245" s="7" t="n"/>
      <c r="I245" s="7" t="n"/>
      <c r="J245" s="7" t="n"/>
      <c r="K245" s="7" t="n"/>
      <c r="L245" s="7" t="n"/>
      <c r="M245" s="7" t="n"/>
      <c r="N245" s="7" t="n"/>
      <c r="O245" s="7" t="n"/>
      <c r="P245" s="7" t="n"/>
    </row>
    <row r="246">
      <c r="A246" s="7" t="n"/>
      <c r="B246" s="7" t="n"/>
      <c r="C246" s="7" t="n"/>
      <c r="D246" s="7" t="n"/>
      <c r="E246" s="7" t="n"/>
      <c r="F246" s="7" t="n"/>
      <c r="G246" s="7" t="n"/>
      <c r="H246" s="7" t="n"/>
      <c r="I246" s="7" t="n"/>
      <c r="J246" s="7" t="n"/>
      <c r="K246" s="7" t="n"/>
      <c r="L246" s="7" t="n"/>
      <c r="M246" s="7" t="n"/>
      <c r="N246" s="7" t="n"/>
      <c r="O246" s="7" t="n"/>
      <c r="P246" s="7" t="n"/>
    </row>
    <row r="247">
      <c r="A247" s="7" t="n"/>
      <c r="B247" s="7" t="n"/>
      <c r="C247" s="7" t="n"/>
      <c r="D247" s="7" t="n"/>
      <c r="E247" s="7" t="n"/>
      <c r="F247" s="7" t="n"/>
      <c r="G247" s="7" t="n"/>
      <c r="H247" s="7" t="n"/>
      <c r="I247" s="7" t="n"/>
      <c r="J247" s="7" t="n"/>
      <c r="K247" s="7" t="n"/>
      <c r="L247" s="7" t="n"/>
      <c r="M247" s="7" t="n"/>
      <c r="N247" s="7" t="n"/>
      <c r="O247" s="7" t="n"/>
      <c r="P247" s="7" t="n"/>
    </row>
    <row r="248">
      <c r="A248" s="7" t="n"/>
      <c r="B248" s="7" t="n"/>
      <c r="C248" s="7" t="n"/>
      <c r="D248" s="7" t="n"/>
      <c r="E248" s="7" t="n"/>
      <c r="F248" s="7" t="n"/>
      <c r="G248" s="7" t="n"/>
      <c r="H248" s="7" t="n"/>
      <c r="I248" s="7" t="n"/>
      <c r="J248" s="7" t="n"/>
      <c r="K248" s="7" t="n"/>
      <c r="L248" s="7" t="n"/>
      <c r="M248" s="7" t="n"/>
      <c r="N248" s="7" t="n"/>
      <c r="O248" s="7" t="n"/>
      <c r="P248" s="7" t="n"/>
    </row>
    <row r="249">
      <c r="A249" s="7" t="n"/>
      <c r="B249" s="7" t="n"/>
      <c r="C249" s="7" t="n"/>
      <c r="D249" s="7" t="n"/>
      <c r="E249" s="7" t="n"/>
      <c r="F249" s="7" t="n"/>
      <c r="G249" s="7" t="n"/>
      <c r="H249" s="7" t="n"/>
      <c r="I249" s="7" t="n"/>
      <c r="J249" s="7" t="n"/>
      <c r="K249" s="7" t="n"/>
      <c r="L249" s="7" t="n"/>
      <c r="M249" s="7" t="n"/>
      <c r="N249" s="7" t="n"/>
      <c r="O249" s="7" t="n"/>
      <c r="P249" s="7" t="n"/>
    </row>
    <row r="250">
      <c r="A250" s="7" t="n"/>
      <c r="B250" s="7" t="n"/>
      <c r="C250" s="7" t="n"/>
      <c r="D250" s="7" t="n"/>
      <c r="E250" s="7" t="n"/>
      <c r="F250" s="7" t="n"/>
      <c r="G250" s="7" t="n"/>
      <c r="H250" s="7" t="n"/>
      <c r="I250" s="7" t="n"/>
      <c r="J250" s="7" t="n"/>
      <c r="K250" s="7" t="n"/>
      <c r="L250" s="7" t="n"/>
      <c r="M250" s="7" t="n"/>
      <c r="N250" s="7" t="n"/>
      <c r="O250" s="7" t="n"/>
      <c r="P250" s="7" t="n"/>
    </row>
    <row r="251">
      <c r="A251" s="7" t="n"/>
      <c r="B251" s="7" t="n"/>
      <c r="C251" s="7" t="n"/>
      <c r="D251" s="7" t="n"/>
      <c r="E251" s="7" t="n"/>
      <c r="F251" s="7" t="n"/>
      <c r="G251" s="7" t="n"/>
      <c r="H251" s="7" t="n"/>
      <c r="I251" s="7" t="n"/>
      <c r="J251" s="7" t="n"/>
      <c r="K251" s="7" t="n"/>
      <c r="L251" s="7" t="n"/>
      <c r="M251" s="7" t="n"/>
      <c r="N251" s="7" t="n"/>
      <c r="O251" s="7" t="n"/>
      <c r="P251" s="7" t="n"/>
    </row>
    <row r="252">
      <c r="A252" s="7" t="n"/>
      <c r="B252" s="7" t="n"/>
      <c r="C252" s="7" t="n"/>
      <c r="D252" s="7" t="n"/>
      <c r="E252" s="7" t="n"/>
      <c r="F252" s="7" t="n"/>
      <c r="G252" s="7" t="n"/>
      <c r="H252" s="7" t="n"/>
      <c r="I252" s="7" t="n"/>
      <c r="J252" s="7" t="n"/>
      <c r="K252" s="7" t="n"/>
      <c r="L252" s="7" t="n"/>
      <c r="M252" s="7" t="n"/>
      <c r="N252" s="7" t="n"/>
      <c r="O252" s="7" t="n"/>
      <c r="P252" s="7" t="n"/>
    </row>
    <row r="253">
      <c r="A253" s="7" t="n"/>
      <c r="B253" s="7" t="n"/>
      <c r="C253" s="7" t="n"/>
      <c r="D253" s="7" t="n"/>
      <c r="E253" s="7" t="n"/>
      <c r="F253" s="7" t="n"/>
      <c r="G253" s="7" t="n"/>
      <c r="H253" s="7" t="n"/>
      <c r="I253" s="7" t="n"/>
      <c r="J253" s="7" t="n"/>
      <c r="K253" s="7" t="n"/>
      <c r="L253" s="7" t="n"/>
      <c r="M253" s="7" t="n"/>
      <c r="N253" s="7" t="n"/>
      <c r="O253" s="7" t="n"/>
      <c r="P253" s="7" t="n"/>
    </row>
    <row r="254">
      <c r="A254" s="7" t="n"/>
      <c r="B254" s="7" t="n"/>
      <c r="C254" s="7" t="n"/>
      <c r="D254" s="7" t="n"/>
      <c r="E254" s="7" t="n"/>
      <c r="F254" s="7" t="n"/>
      <c r="G254" s="7" t="n"/>
      <c r="H254" s="7" t="n"/>
      <c r="I254" s="7" t="n"/>
      <c r="J254" s="7" t="n"/>
      <c r="K254" s="7" t="n"/>
      <c r="L254" s="7" t="n"/>
      <c r="M254" s="7" t="n"/>
      <c r="N254" s="7" t="n"/>
      <c r="O254" s="7" t="n"/>
      <c r="P254" s="7" t="n"/>
    </row>
    <row r="255">
      <c r="A255" s="7" t="n"/>
      <c r="B255" s="7" t="n"/>
      <c r="C255" s="7" t="n"/>
      <c r="D255" s="7" t="n"/>
      <c r="E255" s="7" t="n"/>
      <c r="F255" s="7" t="n"/>
      <c r="G255" s="7" t="n"/>
      <c r="H255" s="7" t="n"/>
      <c r="I255" s="7" t="n"/>
      <c r="J255" s="7" t="n"/>
      <c r="K255" s="7" t="n"/>
      <c r="L255" s="7" t="n"/>
      <c r="M255" s="7" t="n"/>
      <c r="N255" s="7" t="n"/>
      <c r="O255" s="7" t="n"/>
      <c r="P255" s="7" t="n"/>
    </row>
    <row r="256">
      <c r="A256" s="7" t="n"/>
      <c r="B256" s="7" t="n"/>
      <c r="C256" s="7" t="n"/>
      <c r="D256" s="7" t="n"/>
      <c r="E256" s="7" t="n"/>
      <c r="F256" s="7" t="n"/>
      <c r="G256" s="7" t="n"/>
      <c r="H256" s="7" t="n"/>
      <c r="I256" s="7" t="n"/>
      <c r="J256" s="7" t="n"/>
      <c r="K256" s="7" t="n"/>
      <c r="L256" s="7" t="n"/>
      <c r="M256" s="7" t="n"/>
      <c r="N256" s="7" t="n"/>
      <c r="O256" s="7" t="n"/>
      <c r="P256" s="7" t="n"/>
    </row>
    <row r="257">
      <c r="A257" s="7" t="n"/>
      <c r="B257" s="7" t="n"/>
      <c r="C257" s="7" t="n"/>
      <c r="D257" s="7" t="n"/>
      <c r="E257" s="7" t="n"/>
      <c r="F257" s="7" t="n"/>
      <c r="G257" s="7" t="n"/>
      <c r="H257" s="7" t="n"/>
      <c r="I257" s="7" t="n"/>
      <c r="J257" s="7" t="n"/>
      <c r="K257" s="7" t="n"/>
      <c r="L257" s="7" t="n"/>
      <c r="M257" s="7" t="n"/>
      <c r="N257" s="7" t="n"/>
      <c r="O257" s="7" t="n"/>
      <c r="P257" s="7" t="n"/>
    </row>
    <row r="258">
      <c r="A258" s="7" t="n"/>
      <c r="B258" s="7" t="n"/>
      <c r="C258" s="7" t="n"/>
      <c r="D258" s="7" t="n"/>
      <c r="E258" s="7" t="n"/>
      <c r="F258" s="7" t="n"/>
      <c r="G258" s="7" t="n"/>
      <c r="H258" s="7" t="n"/>
      <c r="I258" s="7" t="n"/>
      <c r="J258" s="7" t="n"/>
      <c r="K258" s="7" t="n"/>
      <c r="L258" s="7" t="n"/>
      <c r="M258" s="7" t="n"/>
      <c r="N258" s="7" t="n"/>
      <c r="O258" s="7" t="n"/>
      <c r="P258" s="7" t="n"/>
    </row>
    <row r="259">
      <c r="A259" s="7" t="n"/>
      <c r="B259" s="7" t="n"/>
      <c r="C259" s="7" t="n"/>
      <c r="D259" s="7" t="n"/>
      <c r="E259" s="7" t="n"/>
      <c r="F259" s="7" t="n"/>
      <c r="G259" s="7" t="n"/>
      <c r="H259" s="7" t="n"/>
      <c r="I259" s="7" t="n"/>
      <c r="J259" s="7" t="n"/>
      <c r="K259" s="7" t="n"/>
      <c r="L259" s="7" t="n"/>
      <c r="M259" s="7" t="n"/>
      <c r="N259" s="7" t="n"/>
      <c r="O259" s="7" t="n"/>
      <c r="P259" s="7" t="n"/>
    </row>
    <row r="260">
      <c r="A260" s="7" t="n"/>
      <c r="B260" s="7" t="n"/>
      <c r="C260" s="7" t="n"/>
      <c r="D260" s="7" t="n"/>
      <c r="E260" s="7" t="n"/>
      <c r="F260" s="7" t="n"/>
      <c r="G260" s="7" t="n"/>
      <c r="H260" s="7" t="n"/>
      <c r="I260" s="7" t="n"/>
      <c r="J260" s="7" t="n"/>
      <c r="K260" s="7" t="n"/>
      <c r="L260" s="7" t="n"/>
      <c r="M260" s="7" t="n"/>
      <c r="N260" s="7" t="n"/>
      <c r="O260" s="7" t="n"/>
      <c r="P260" s="7" t="n"/>
    </row>
    <row r="261">
      <c r="A261" s="7" t="n"/>
      <c r="B261" s="7" t="n"/>
      <c r="C261" s="7" t="n"/>
      <c r="D261" s="7" t="n"/>
      <c r="E261" s="7" t="n"/>
      <c r="F261" s="7" t="n"/>
      <c r="G261" s="7" t="n"/>
      <c r="H261" s="7" t="n"/>
      <c r="I261" s="7" t="n"/>
      <c r="J261" s="7" t="n"/>
      <c r="K261" s="7" t="n"/>
      <c r="L261" s="7" t="n"/>
      <c r="M261" s="7" t="n"/>
      <c r="N261" s="7" t="n"/>
      <c r="O261" s="7" t="n"/>
      <c r="P261" s="7" t="n"/>
    </row>
    <row r="262">
      <c r="A262" s="7" t="n"/>
      <c r="B262" s="7" t="n"/>
      <c r="C262" s="7" t="n"/>
      <c r="D262" s="7" t="n"/>
      <c r="E262" s="7" t="n"/>
      <c r="F262" s="7" t="n"/>
      <c r="G262" s="7" t="n"/>
      <c r="H262" s="7" t="n"/>
      <c r="I262" s="7" t="n"/>
      <c r="J262" s="7" t="n"/>
      <c r="K262" s="7" t="n"/>
      <c r="L262" s="7" t="n"/>
      <c r="M262" s="7" t="n"/>
      <c r="N262" s="7" t="n"/>
      <c r="O262" s="7" t="n"/>
      <c r="P262" s="7" t="n"/>
    </row>
    <row r="263">
      <c r="A263" s="7" t="n"/>
      <c r="B263" s="7" t="n"/>
      <c r="C263" s="7" t="n"/>
      <c r="D263" s="7" t="n"/>
      <c r="E263" s="7" t="n"/>
      <c r="F263" s="7" t="n"/>
      <c r="G263" s="7" t="n"/>
      <c r="H263" s="7" t="n"/>
      <c r="I263" s="7" t="n"/>
      <c r="J263" s="7" t="n"/>
      <c r="K263" s="7" t="n"/>
      <c r="L263" s="7" t="n"/>
      <c r="M263" s="7" t="n"/>
      <c r="N263" s="7" t="n"/>
      <c r="O263" s="7" t="n"/>
      <c r="P263" s="7" t="n"/>
    </row>
    <row r="264">
      <c r="A264" s="7" t="n"/>
      <c r="B264" s="7" t="n"/>
      <c r="C264" s="7" t="n"/>
      <c r="D264" s="7" t="n"/>
      <c r="E264" s="7" t="n"/>
      <c r="F264" s="7" t="n"/>
      <c r="G264" s="7" t="n"/>
      <c r="H264" s="7" t="n"/>
      <c r="I264" s="7" t="n"/>
      <c r="J264" s="7" t="n"/>
      <c r="K264" s="7" t="n"/>
      <c r="L264" s="7" t="n"/>
      <c r="M264" s="7" t="n"/>
      <c r="N264" s="7" t="n"/>
      <c r="O264" s="7" t="n"/>
      <c r="P264" s="7" t="n"/>
    </row>
    <row r="265">
      <c r="A265" s="7" t="n"/>
      <c r="B265" s="7" t="n"/>
      <c r="C265" s="7" t="n"/>
      <c r="D265" s="7" t="n"/>
      <c r="E265" s="7" t="n"/>
      <c r="F265" s="7" t="n"/>
      <c r="G265" s="7" t="n"/>
      <c r="H265" s="7" t="n"/>
      <c r="I265" s="7" t="n"/>
      <c r="J265" s="7" t="n"/>
      <c r="K265" s="7" t="n"/>
      <c r="L265" s="7" t="n"/>
      <c r="M265" s="7" t="n"/>
      <c r="N265" s="7" t="n"/>
      <c r="O265" s="7" t="n"/>
      <c r="P265" s="7" t="n"/>
    </row>
    <row r="266">
      <c r="A266" s="7" t="n"/>
      <c r="B266" s="7" t="n"/>
      <c r="C266" s="7" t="n"/>
      <c r="D266" s="7" t="n"/>
      <c r="E266" s="7" t="n"/>
      <c r="F266" s="7" t="n"/>
      <c r="G266" s="7" t="n"/>
      <c r="H266" s="7" t="n"/>
      <c r="I266" s="7" t="n"/>
      <c r="J266" s="7" t="n"/>
      <c r="K266" s="7" t="n"/>
      <c r="L266" s="7" t="n"/>
      <c r="M266" s="7" t="n"/>
      <c r="N266" s="7" t="n"/>
      <c r="O266" s="7" t="n"/>
      <c r="P266" s="7" t="n"/>
    </row>
    <row r="267">
      <c r="A267" s="7" t="n"/>
      <c r="B267" s="7" t="n"/>
      <c r="C267" s="7" t="n"/>
      <c r="D267" s="7" t="n"/>
      <c r="E267" s="7" t="n"/>
      <c r="F267" s="7" t="n"/>
      <c r="G267" s="7" t="n"/>
      <c r="H267" s="7" t="n"/>
      <c r="I267" s="7" t="n"/>
      <c r="J267" s="7" t="n"/>
      <c r="K267" s="7" t="n"/>
      <c r="L267" s="7" t="n"/>
      <c r="M267" s="7" t="n"/>
      <c r="N267" s="7" t="n"/>
      <c r="O267" s="7" t="n"/>
      <c r="P267" s="7" t="n"/>
    </row>
    <row r="268">
      <c r="A268" s="7" t="n"/>
      <c r="B268" s="7" t="n"/>
      <c r="C268" s="7" t="n"/>
      <c r="D268" s="7" t="n"/>
      <c r="E268" s="7" t="n"/>
      <c r="F268" s="7" t="n"/>
      <c r="G268" s="7" t="n"/>
      <c r="H268" s="7" t="n"/>
      <c r="I268" s="7" t="n"/>
      <c r="J268" s="7" t="n"/>
      <c r="K268" s="7" t="n"/>
      <c r="L268" s="7" t="n"/>
      <c r="M268" s="7" t="n"/>
      <c r="N268" s="7" t="n"/>
      <c r="O268" s="7" t="n"/>
      <c r="P268" s="7" t="n"/>
    </row>
    <row r="269">
      <c r="A269" s="7" t="n"/>
      <c r="B269" s="7" t="n"/>
      <c r="C269" s="7" t="n"/>
      <c r="D269" s="7" t="n"/>
      <c r="E269" s="7" t="n"/>
      <c r="F269" s="7" t="n"/>
      <c r="G269" s="7" t="n"/>
      <c r="H269" s="7" t="n"/>
      <c r="I269" s="7" t="n"/>
      <c r="J269" s="7" t="n"/>
      <c r="K269" s="7" t="n"/>
      <c r="L269" s="7" t="n"/>
      <c r="M269" s="7" t="n"/>
      <c r="N269" s="7" t="n"/>
      <c r="O269" s="7" t="n"/>
      <c r="P269" s="7" t="n"/>
    </row>
    <row r="270">
      <c r="A270" s="7" t="n"/>
      <c r="B270" s="7" t="n"/>
      <c r="C270" s="7" t="n"/>
      <c r="D270" s="7" t="n"/>
      <c r="E270" s="7" t="n"/>
      <c r="F270" s="7" t="n"/>
      <c r="G270" s="7" t="n"/>
      <c r="H270" s="7" t="n"/>
      <c r="I270" s="7" t="n"/>
      <c r="J270" s="7" t="n"/>
      <c r="K270" s="7" t="n"/>
      <c r="L270" s="7" t="n"/>
      <c r="M270" s="7" t="n"/>
      <c r="N270" s="7" t="n"/>
      <c r="O270" s="7" t="n"/>
      <c r="P270" s="7" t="n"/>
    </row>
    <row r="271">
      <c r="A271" s="7" t="n"/>
      <c r="B271" s="7" t="n"/>
      <c r="C271" s="7" t="n"/>
      <c r="D271" s="7" t="n"/>
      <c r="E271" s="7" t="n"/>
      <c r="F271" s="7" t="n"/>
      <c r="G271" s="7" t="n"/>
      <c r="H271" s="7" t="n"/>
      <c r="I271" s="7" t="n"/>
      <c r="J271" s="7" t="n"/>
      <c r="K271" s="7" t="n"/>
      <c r="L271" s="7" t="n"/>
      <c r="M271" s="7" t="n"/>
      <c r="N271" s="7" t="n"/>
      <c r="O271" s="7" t="n"/>
      <c r="P271" s="7" t="n"/>
    </row>
    <row r="272">
      <c r="A272" s="7" t="n"/>
      <c r="B272" s="7" t="n"/>
      <c r="C272" s="7" t="n"/>
      <c r="D272" s="7" t="n"/>
      <c r="E272" s="7" t="n"/>
      <c r="F272" s="7" t="n"/>
      <c r="G272" s="7" t="n"/>
      <c r="H272" s="7" t="n"/>
      <c r="I272" s="7" t="n"/>
      <c r="J272" s="7" t="n"/>
      <c r="K272" s="7" t="n"/>
      <c r="L272" s="7" t="n"/>
      <c r="M272" s="7" t="n"/>
      <c r="N272" s="7" t="n"/>
      <c r="O272" s="7" t="n"/>
      <c r="P272" s="7" t="n"/>
    </row>
    <row r="273">
      <c r="A273" s="7" t="n"/>
      <c r="B273" s="7" t="n"/>
      <c r="C273" s="7" t="n"/>
      <c r="D273" s="7" t="n"/>
      <c r="E273" s="7" t="n"/>
      <c r="F273" s="7" t="n"/>
      <c r="G273" s="7" t="n"/>
      <c r="H273" s="7" t="n"/>
      <c r="I273" s="7" t="n"/>
      <c r="J273" s="7" t="n"/>
      <c r="K273" s="7" t="n"/>
      <c r="L273" s="7" t="n"/>
      <c r="M273" s="7" t="n"/>
      <c r="N273" s="7" t="n"/>
      <c r="O273" s="7" t="n"/>
      <c r="P273" s="7" t="n"/>
    </row>
    <row r="274">
      <c r="A274" s="7" t="n"/>
      <c r="B274" s="7" t="n"/>
      <c r="C274" s="7" t="n"/>
      <c r="D274" s="7" t="n"/>
      <c r="E274" s="7" t="n"/>
      <c r="F274" s="7" t="n"/>
      <c r="G274" s="7" t="n"/>
      <c r="H274" s="7" t="n"/>
      <c r="I274" s="7" t="n"/>
      <c r="J274" s="7" t="n"/>
      <c r="K274" s="7" t="n"/>
      <c r="L274" s="7" t="n"/>
      <c r="M274" s="7" t="n"/>
      <c r="N274" s="7" t="n"/>
      <c r="O274" s="7" t="n"/>
      <c r="P274" s="7" t="n"/>
    </row>
    <row r="275">
      <c r="A275" s="7" t="n"/>
      <c r="B275" s="7" t="n"/>
      <c r="C275" s="7" t="n"/>
      <c r="D275" s="7" t="n"/>
      <c r="E275" s="7" t="n"/>
      <c r="F275" s="7" t="n"/>
      <c r="G275" s="7" t="n"/>
      <c r="H275" s="7" t="n"/>
      <c r="I275" s="7" t="n"/>
      <c r="J275" s="7" t="n"/>
      <c r="K275" s="7" t="n"/>
      <c r="L275" s="7" t="n"/>
      <c r="M275" s="7" t="n"/>
      <c r="N275" s="7" t="n"/>
      <c r="O275" s="7" t="n"/>
      <c r="P275" s="7" t="n"/>
    </row>
    <row r="276">
      <c r="A276" s="7" t="n"/>
      <c r="B276" s="7" t="n"/>
      <c r="C276" s="7" t="n"/>
      <c r="D276" s="7" t="n"/>
      <c r="E276" s="7" t="n"/>
      <c r="F276" s="7" t="n"/>
      <c r="G276" s="7" t="n"/>
      <c r="H276" s="7" t="n"/>
      <c r="I276" s="7" t="n"/>
      <c r="J276" s="7" t="n"/>
      <c r="K276" s="7" t="n"/>
      <c r="L276" s="7" t="n"/>
      <c r="M276" s="7" t="n"/>
      <c r="N276" s="7" t="n"/>
      <c r="O276" s="7" t="n"/>
      <c r="P276" s="7" t="n"/>
    </row>
    <row r="277">
      <c r="A277" s="7" t="n"/>
      <c r="B277" s="7" t="n"/>
      <c r="C277" s="7" t="n"/>
      <c r="D277" s="7" t="n"/>
      <c r="E277" s="7" t="n"/>
      <c r="F277" s="7" t="n"/>
      <c r="G277" s="7" t="n"/>
      <c r="H277" s="7" t="n"/>
      <c r="I277" s="7" t="n"/>
      <c r="J277" s="7" t="n"/>
      <c r="K277" s="7" t="n"/>
      <c r="L277" s="7" t="n"/>
      <c r="M277" s="7" t="n"/>
      <c r="N277" s="7" t="n"/>
      <c r="O277" s="7" t="n"/>
      <c r="P277" s="7" t="n"/>
    </row>
    <row r="278">
      <c r="A278" s="7" t="n"/>
      <c r="B278" s="7" t="n"/>
      <c r="C278" s="7" t="n"/>
      <c r="D278" s="7" t="n"/>
      <c r="E278" s="7" t="n"/>
      <c r="F278" s="7" t="n"/>
      <c r="G278" s="7" t="n"/>
      <c r="H278" s="7" t="n"/>
      <c r="I278" s="7" t="n"/>
      <c r="J278" s="7" t="n"/>
      <c r="K278" s="7" t="n"/>
      <c r="L278" s="7" t="n"/>
      <c r="M278" s="7" t="n"/>
      <c r="N278" s="7" t="n"/>
      <c r="O278" s="7" t="n"/>
      <c r="P278" s="7" t="n"/>
    </row>
    <row r="279">
      <c r="A279" s="7" t="n"/>
      <c r="B279" s="7" t="n"/>
      <c r="C279" s="7" t="n"/>
      <c r="D279" s="7" t="n"/>
      <c r="E279" s="7" t="n"/>
      <c r="F279" s="7" t="n"/>
      <c r="G279" s="7" t="n"/>
      <c r="H279" s="7" t="n"/>
      <c r="I279" s="7" t="n"/>
      <c r="J279" s="7" t="n"/>
      <c r="K279" s="7" t="n"/>
      <c r="L279" s="7" t="n"/>
      <c r="M279" s="7" t="n"/>
      <c r="N279" s="7" t="n"/>
      <c r="O279" s="7" t="n"/>
      <c r="P279" s="7" t="n"/>
    </row>
    <row r="280">
      <c r="A280" s="7" t="n"/>
      <c r="B280" s="7" t="n"/>
      <c r="C280" s="7" t="n"/>
      <c r="D280" s="7" t="n"/>
      <c r="E280" s="7" t="n"/>
      <c r="F280" s="7" t="n"/>
      <c r="G280" s="7" t="n"/>
      <c r="H280" s="7" t="n"/>
      <c r="I280" s="7" t="n"/>
      <c r="J280" s="7" t="n"/>
      <c r="K280" s="7" t="n"/>
      <c r="L280" s="7" t="n"/>
      <c r="M280" s="7" t="n"/>
      <c r="N280" s="7" t="n"/>
      <c r="O280" s="7" t="n"/>
      <c r="P280" s="7" t="n"/>
    </row>
    <row r="281">
      <c r="A281" s="7" t="n"/>
      <c r="B281" s="7" t="n"/>
      <c r="C281" s="7" t="n"/>
      <c r="D281" s="7" t="n"/>
      <c r="E281" s="7" t="n"/>
      <c r="F281" s="7" t="n"/>
      <c r="G281" s="7" t="n"/>
      <c r="H281" s="7" t="n"/>
      <c r="I281" s="7" t="n"/>
      <c r="J281" s="7" t="n"/>
      <c r="K281" s="7" t="n"/>
      <c r="L281" s="7" t="n"/>
      <c r="M281" s="7" t="n"/>
      <c r="N281" s="7" t="n"/>
      <c r="O281" s="7" t="n"/>
      <c r="P281" s="7" t="n"/>
    </row>
    <row r="282">
      <c r="A282" s="7" t="n"/>
      <c r="B282" s="7" t="n"/>
      <c r="C282" s="7" t="n"/>
      <c r="D282" s="7" t="n"/>
      <c r="E282" s="7" t="n"/>
      <c r="F282" s="7" t="n"/>
      <c r="G282" s="7" t="n"/>
      <c r="H282" s="7" t="n"/>
      <c r="I282" s="7" t="n"/>
      <c r="J282" s="7" t="n"/>
      <c r="K282" s="7" t="n"/>
      <c r="L282" s="7" t="n"/>
      <c r="M282" s="7" t="n"/>
      <c r="N282" s="7" t="n"/>
      <c r="O282" s="7" t="n"/>
      <c r="P282" s="7" t="n"/>
    </row>
    <row r="283">
      <c r="A283" s="7" t="n"/>
      <c r="B283" s="7" t="n"/>
      <c r="C283" s="7" t="n"/>
      <c r="D283" s="7" t="n"/>
      <c r="E283" s="7" t="n"/>
      <c r="F283" s="7" t="n"/>
      <c r="G283" s="7" t="n"/>
      <c r="H283" s="7" t="n"/>
      <c r="I283" s="7" t="n"/>
      <c r="J283" s="7" t="n"/>
      <c r="K283" s="7" t="n"/>
      <c r="L283" s="7" t="n"/>
      <c r="M283" s="7" t="n"/>
      <c r="N283" s="7" t="n"/>
      <c r="O283" s="7" t="n"/>
      <c r="P283" s="7" t="n"/>
    </row>
    <row r="284">
      <c r="A284" s="7" t="n"/>
      <c r="B284" s="7" t="n"/>
      <c r="C284" s="7" t="n"/>
      <c r="D284" s="7" t="n"/>
      <c r="E284" s="7" t="n"/>
      <c r="F284" s="7" t="n"/>
      <c r="G284" s="7" t="n"/>
      <c r="H284" s="7" t="n"/>
      <c r="I284" s="7" t="n"/>
      <c r="J284" s="7" t="n"/>
      <c r="K284" s="7" t="n"/>
      <c r="L284" s="7" t="n"/>
      <c r="M284" s="7" t="n"/>
      <c r="N284" s="7" t="n"/>
      <c r="O284" s="7" t="n"/>
      <c r="P284" s="7" t="n"/>
    </row>
    <row r="285">
      <c r="A285" s="7" t="n"/>
      <c r="B285" s="7" t="n"/>
      <c r="C285" s="7" t="n"/>
      <c r="D285" s="7" t="n"/>
      <c r="E285" s="7" t="n"/>
      <c r="F285" s="7" t="n"/>
      <c r="G285" s="7" t="n"/>
      <c r="H285" s="7" t="n"/>
      <c r="I285" s="7" t="n"/>
      <c r="J285" s="7" t="n"/>
      <c r="K285" s="7" t="n"/>
      <c r="L285" s="7" t="n"/>
      <c r="M285" s="7" t="n"/>
      <c r="N285" s="7" t="n"/>
      <c r="O285" s="7" t="n"/>
      <c r="P285" s="7" t="n"/>
    </row>
    <row r="286">
      <c r="A286" s="7" t="n"/>
      <c r="B286" s="7" t="n"/>
      <c r="C286" s="7" t="n"/>
      <c r="D286" s="7" t="n"/>
      <c r="E286" s="7" t="n"/>
      <c r="F286" s="7" t="n"/>
      <c r="G286" s="7" t="n"/>
      <c r="H286" s="7" t="n"/>
      <c r="I286" s="7" t="n"/>
      <c r="J286" s="7" t="n"/>
      <c r="K286" s="7" t="n"/>
      <c r="L286" s="7" t="n"/>
      <c r="M286" s="7" t="n"/>
      <c r="N286" s="7" t="n"/>
      <c r="O286" s="7" t="n"/>
      <c r="P286" s="7" t="n"/>
    </row>
    <row r="287">
      <c r="A287" s="7" t="n"/>
      <c r="B287" s="7" t="n"/>
      <c r="C287" s="7" t="n"/>
      <c r="D287" s="7" t="n"/>
      <c r="E287" s="7" t="n"/>
      <c r="F287" s="7" t="n"/>
      <c r="G287" s="7" t="n"/>
      <c r="H287" s="7" t="n"/>
      <c r="I287" s="7" t="n"/>
      <c r="J287" s="7" t="n"/>
      <c r="K287" s="7" t="n"/>
      <c r="L287" s="7" t="n"/>
      <c r="M287" s="7" t="n"/>
      <c r="N287" s="7" t="n"/>
      <c r="O287" s="7" t="n"/>
      <c r="P287" s="7" t="n"/>
    </row>
    <row r="288">
      <c r="A288" s="7" t="n"/>
      <c r="B288" s="7" t="n"/>
      <c r="C288" s="7" t="n"/>
      <c r="D288" s="7" t="n"/>
      <c r="E288" s="7" t="n"/>
      <c r="F288" s="7" t="n"/>
      <c r="G288" s="7" t="n"/>
      <c r="H288" s="7" t="n"/>
      <c r="I288" s="7" t="n"/>
      <c r="J288" s="7" t="n"/>
      <c r="K288" s="7" t="n"/>
      <c r="L288" s="7" t="n"/>
      <c r="M288" s="7" t="n"/>
      <c r="N288" s="7" t="n"/>
      <c r="O288" s="7" t="n"/>
      <c r="P288" s="7" t="n"/>
    </row>
    <row r="289">
      <c r="A289" s="7" t="n"/>
      <c r="B289" s="7" t="n"/>
      <c r="C289" s="7" t="n"/>
      <c r="D289" s="7" t="n"/>
      <c r="E289" s="7" t="n"/>
      <c r="F289" s="7" t="n"/>
      <c r="G289" s="7" t="n"/>
      <c r="H289" s="7" t="n"/>
      <c r="I289" s="7" t="n"/>
      <c r="J289" s="7" t="n"/>
      <c r="K289" s="7" t="n"/>
      <c r="L289" s="7" t="n"/>
      <c r="M289" s="7" t="n"/>
      <c r="N289" s="7" t="n"/>
      <c r="O289" s="7" t="n"/>
      <c r="P289" s="7" t="n"/>
    </row>
    <row r="290">
      <c r="A290" s="7" t="n"/>
      <c r="B290" s="7" t="n"/>
      <c r="C290" s="7" t="n"/>
      <c r="D290" s="7" t="n"/>
      <c r="E290" s="7" t="n"/>
      <c r="F290" s="7" t="n"/>
      <c r="G290" s="7" t="n"/>
      <c r="H290" s="7" t="n"/>
      <c r="I290" s="7" t="n"/>
      <c r="J290" s="7" t="n"/>
      <c r="K290" s="7" t="n"/>
      <c r="L290" s="7" t="n"/>
      <c r="M290" s="7" t="n"/>
      <c r="N290" s="7" t="n"/>
      <c r="O290" s="7" t="n"/>
      <c r="P290" s="7" t="n"/>
    </row>
    <row r="291">
      <c r="A291" s="7" t="n"/>
      <c r="B291" s="7" t="n"/>
      <c r="C291" s="7" t="n"/>
      <c r="D291" s="7" t="n"/>
      <c r="E291" s="7" t="n"/>
      <c r="F291" s="7" t="n"/>
      <c r="G291" s="7" t="n"/>
      <c r="H291" s="7" t="n"/>
      <c r="I291" s="7" t="n"/>
      <c r="J291" s="7" t="n"/>
      <c r="K291" s="7" t="n"/>
      <c r="L291" s="7" t="n"/>
      <c r="M291" s="7" t="n"/>
      <c r="N291" s="7" t="n"/>
      <c r="O291" s="7" t="n"/>
      <c r="P291" s="7" t="n"/>
    </row>
    <row r="292">
      <c r="A292" s="7" t="n"/>
      <c r="B292" s="7" t="n"/>
      <c r="C292" s="7" t="n"/>
      <c r="D292" s="7" t="n"/>
      <c r="E292" s="7" t="n"/>
      <c r="F292" s="7" t="n"/>
      <c r="G292" s="7" t="n"/>
      <c r="H292" s="7" t="n"/>
      <c r="I292" s="7" t="n"/>
      <c r="J292" s="7" t="n"/>
      <c r="K292" s="7" t="n"/>
      <c r="L292" s="7" t="n"/>
      <c r="M292" s="7" t="n"/>
      <c r="N292" s="7" t="n"/>
      <c r="O292" s="7" t="n"/>
      <c r="P292" s="7" t="n"/>
    </row>
    <row r="293">
      <c r="A293" s="7" t="n"/>
      <c r="B293" s="7" t="n"/>
      <c r="C293" s="7" t="n"/>
      <c r="D293" s="7" t="n"/>
      <c r="E293" s="7" t="n"/>
      <c r="F293" s="7" t="n"/>
      <c r="G293" s="7" t="n"/>
      <c r="H293" s="7" t="n"/>
      <c r="I293" s="7" t="n"/>
      <c r="J293" s="7" t="n"/>
      <c r="K293" s="7" t="n"/>
      <c r="L293" s="7" t="n"/>
      <c r="M293" s="7" t="n"/>
      <c r="N293" s="7" t="n"/>
      <c r="O293" s="7" t="n"/>
      <c r="P293" s="7" t="n"/>
    </row>
    <row r="294">
      <c r="A294" s="7" t="n"/>
      <c r="B294" s="7" t="n"/>
      <c r="C294" s="7" t="n"/>
      <c r="D294" s="7" t="n"/>
      <c r="E294" s="7" t="n"/>
      <c r="F294" s="7" t="n"/>
      <c r="G294" s="7" t="n"/>
      <c r="H294" s="7" t="n"/>
      <c r="I294" s="7" t="n"/>
      <c r="J294" s="7" t="n"/>
      <c r="K294" s="7" t="n"/>
      <c r="L294" s="7" t="n"/>
      <c r="M294" s="7" t="n"/>
      <c r="N294" s="7" t="n"/>
      <c r="O294" s="7" t="n"/>
      <c r="P294" s="7" t="n"/>
    </row>
    <row r="295">
      <c r="A295" s="7" t="n"/>
      <c r="B295" s="7" t="n"/>
      <c r="C295" s="7" t="n"/>
      <c r="D295" s="7" t="n"/>
      <c r="E295" s="7" t="n"/>
      <c r="F295" s="7" t="n"/>
      <c r="G295" s="7" t="n"/>
      <c r="H295" s="7" t="n"/>
      <c r="I295" s="7" t="n"/>
      <c r="J295" s="7" t="n"/>
      <c r="K295" s="7" t="n"/>
      <c r="L295" s="7" t="n"/>
      <c r="M295" s="7" t="n"/>
      <c r="N295" s="7" t="n"/>
      <c r="O295" s="7" t="n"/>
      <c r="P295" s="7" t="n"/>
    </row>
    <row r="296">
      <c r="A296" s="7" t="n"/>
      <c r="B296" s="7" t="n"/>
      <c r="C296" s="7" t="n"/>
      <c r="D296" s="7" t="n"/>
      <c r="E296" s="7" t="n"/>
      <c r="F296" s="7" t="n"/>
      <c r="G296" s="7" t="n"/>
      <c r="H296" s="7" t="n"/>
      <c r="I296" s="7" t="n"/>
      <c r="J296" s="7" t="n"/>
      <c r="K296" s="7" t="n"/>
      <c r="L296" s="7" t="n"/>
      <c r="M296" s="7" t="n"/>
      <c r="N296" s="7" t="n"/>
      <c r="O296" s="7" t="n"/>
      <c r="P296" s="7" t="n"/>
    </row>
    <row r="297">
      <c r="A297" s="7" t="n"/>
      <c r="B297" s="7" t="n"/>
      <c r="C297" s="7" t="n"/>
      <c r="D297" s="7" t="n"/>
      <c r="E297" s="7" t="n"/>
      <c r="F297" s="7" t="n"/>
      <c r="G297" s="7" t="n"/>
      <c r="H297" s="7" t="n"/>
      <c r="I297" s="7" t="n"/>
      <c r="J297" s="7" t="n"/>
      <c r="K297" s="7" t="n"/>
      <c r="L297" s="7" t="n"/>
      <c r="M297" s="7" t="n"/>
      <c r="N297" s="7" t="n"/>
      <c r="O297" s="7" t="n"/>
      <c r="P297" s="7" t="n"/>
    </row>
    <row r="298">
      <c r="A298" s="7" t="n"/>
      <c r="B298" s="7" t="n"/>
      <c r="C298" s="7" t="n"/>
      <c r="D298" s="7" t="n"/>
      <c r="E298" s="7" t="n"/>
      <c r="F298" s="7" t="n"/>
      <c r="G298" s="7" t="n"/>
      <c r="H298" s="7" t="n"/>
      <c r="I298" s="7" t="n"/>
      <c r="J298" s="7" t="n"/>
      <c r="K298" s="7" t="n"/>
      <c r="L298" s="7" t="n"/>
      <c r="M298" s="7" t="n"/>
      <c r="N298" s="7" t="n"/>
      <c r="O298" s="7" t="n"/>
      <c r="P298" s="7" t="n"/>
    </row>
    <row r="299">
      <c r="A299" s="7" t="n"/>
      <c r="B299" s="7" t="n"/>
      <c r="C299" s="7" t="n"/>
      <c r="D299" s="7" t="n"/>
      <c r="E299" s="7" t="n"/>
      <c r="F299" s="7" t="n"/>
      <c r="G299" s="7" t="n"/>
      <c r="H299" s="7" t="n"/>
      <c r="I299" s="7" t="n"/>
      <c r="J299" s="7" t="n"/>
      <c r="K299" s="7" t="n"/>
      <c r="L299" s="7" t="n"/>
      <c r="M299" s="7" t="n"/>
      <c r="N299" s="7" t="n"/>
      <c r="O299" s="7" t="n"/>
      <c r="P299" s="7" t="n"/>
    </row>
    <row r="300">
      <c r="A300" s="7" t="n"/>
      <c r="B300" s="7" t="n"/>
      <c r="C300" s="7" t="n"/>
      <c r="D300" s="7" t="n"/>
      <c r="E300" s="7" t="n"/>
      <c r="F300" s="7" t="n"/>
      <c r="G300" s="7" t="n"/>
      <c r="H300" s="7" t="n"/>
      <c r="I300" s="7" t="n"/>
      <c r="J300" s="7" t="n"/>
      <c r="K300" s="7" t="n"/>
      <c r="L300" s="7" t="n"/>
      <c r="M300" s="7" t="n"/>
      <c r="N300" s="7" t="n"/>
      <c r="O300" s="7" t="n"/>
      <c r="P300" s="7" t="n"/>
    </row>
    <row r="301">
      <c r="A301" s="7" t="n"/>
      <c r="B301" s="7" t="n"/>
      <c r="C301" s="7" t="n"/>
      <c r="D301" s="7" t="n"/>
      <c r="E301" s="7" t="n"/>
      <c r="F301" s="7" t="n"/>
      <c r="G301" s="7" t="n"/>
      <c r="H301" s="7" t="n"/>
      <c r="I301" s="7" t="n"/>
      <c r="J301" s="7" t="n"/>
      <c r="K301" s="7" t="n"/>
      <c r="L301" s="7" t="n"/>
      <c r="M301" s="7" t="n"/>
      <c r="N301" s="7" t="n"/>
      <c r="O301" s="7" t="n"/>
      <c r="P301" s="7" t="n"/>
    </row>
    <row r="302">
      <c r="A302" s="7" t="n"/>
      <c r="B302" s="7" t="n"/>
      <c r="C302" s="7" t="n"/>
      <c r="D302" s="7" t="n"/>
      <c r="E302" s="7" t="n"/>
      <c r="F302" s="7" t="n"/>
      <c r="G302" s="7" t="n"/>
      <c r="H302" s="7" t="n"/>
      <c r="I302" s="7" t="n"/>
      <c r="J302" s="7" t="n"/>
      <c r="K302" s="7" t="n"/>
      <c r="L302" s="7" t="n"/>
      <c r="M302" s="7" t="n"/>
      <c r="N302" s="7" t="n"/>
      <c r="O302" s="7" t="n"/>
      <c r="P302" s="7" t="n"/>
    </row>
    <row r="303">
      <c r="A303" s="7" t="n"/>
      <c r="B303" s="7" t="n"/>
      <c r="C303" s="7" t="n"/>
      <c r="D303" s="7" t="n"/>
      <c r="E303" s="7" t="n"/>
      <c r="F303" s="7" t="n"/>
      <c r="G303" s="7" t="n"/>
      <c r="H303" s="7" t="n"/>
      <c r="I303" s="7" t="n"/>
      <c r="J303" s="7" t="n"/>
      <c r="K303" s="7" t="n"/>
      <c r="L303" s="7" t="n"/>
      <c r="M303" s="7" t="n"/>
      <c r="N303" s="7" t="n"/>
      <c r="O303" s="7" t="n"/>
      <c r="P303" s="7" t="n"/>
    </row>
  </sheetData>
  <autoFilter ref="A3:P303"/>
  <conditionalFormatting sqref="O4:O303">
    <cfRule type="cellIs" priority="1" operator="equal" dxfId="1">
      <formula>"Yes"</formula>
    </cfRule>
  </conditionalFormatting>
  <conditionalFormatting sqref="J4:J303">
    <cfRule type="cellIs" priority="2" operator="equal" dxfId="0">
      <formula>"Verified"</formula>
    </cfRule>
  </conditionalFormatting>
  <dataValidations count="5">
    <dataValidation sqref="H4:H303" showDropDown="0" showInputMessage="0" showErrorMessage="0" allowBlank="1" type="list">
      <formula1>"Confirmed,Likely,Unknown,No"</formula1>
    </dataValidation>
    <dataValidation sqref="O4:O303" showDropDown="0" showInputMessage="0" showErrorMessage="0" allowBlank="1" type="list">
      <formula1>"No,Yes"</formula1>
    </dataValidation>
    <dataValidation sqref="L4:L303" showDropDown="0" showInputMessage="0" showErrorMessage="0" allowBlank="1" type="list">
      <formula1>"Landline,Wireless,Unknown"</formula1>
    </dataValidation>
    <dataValidation sqref="G4:G404" showDropDown="0" showInputMessage="0" showErrorMessage="0" allowBlank="1" type="list">
      <formula1>Lists!$I$1:$I$11</formula1>
    </dataValidation>
    <dataValidation sqref="J4:J404" showDropDown="0" showInputMessage="0" showErrorMessage="0" allowBlank="1" type="list">
      <formula1>Lists!$H$1:$H$5</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303"/>
  <sheetViews>
    <sheetView showGridLines="0" workbookViewId="0">
      <pane ySplit="3" topLeftCell="A4" activePane="bottomLeft" state="frozen"/>
      <selection pane="bottomLeft" activeCell="A1" sqref="A1"/>
    </sheetView>
  </sheetViews>
  <sheetFormatPr baseColWidth="8" defaultRowHeight="15"/>
  <cols>
    <col width="11" customWidth="1" min="1" max="1"/>
    <col width="11" customWidth="1" min="2" max="2"/>
    <col width="24" customWidth="1" min="3" max="3"/>
    <col width="26" customWidth="1" min="4" max="4"/>
    <col width="9" customWidth="1" min="5" max="5"/>
    <col width="7" customWidth="1" min="6" max="6"/>
    <col width="46" customWidth="1" min="7" max="7"/>
    <col width="26" customWidth="1" min="8" max="8"/>
    <col width="14" customWidth="1" min="9" max="9"/>
    <col width="10" customWidth="1" min="10" max="10"/>
    <col width="12" customWidth="1" min="11" max="11"/>
    <col width="12" customWidth="1" min="12" max="12"/>
  </cols>
  <sheetData>
    <row r="1">
      <c r="A1" s="1" t="inlineStr">
        <is>
          <t>Trigger Tracker</t>
        </is>
      </c>
    </row>
    <row r="2">
      <c r="A2" s="2" t="inlineStr">
        <is>
          <t>The dated, public reason you are contacting this account. No date and no source means no trigger.</t>
        </is>
      </c>
    </row>
    <row r="3">
      <c r="A3" s="6" t="inlineStr">
        <is>
          <t>Trigger ID</t>
        </is>
      </c>
      <c r="B3" s="6" t="inlineStr">
        <is>
          <t>Account ID</t>
        </is>
      </c>
      <c r="C3" s="6" t="inlineStr">
        <is>
          <t>Company</t>
        </is>
      </c>
      <c r="D3" s="6" t="inlineStr">
        <is>
          <t>Trigger type</t>
        </is>
      </c>
      <c r="E3" s="6" t="inlineStr">
        <is>
          <t>Tier</t>
        </is>
      </c>
      <c r="F3" s="6" t="inlineStr">
        <is>
          <t>Score</t>
        </is>
      </c>
      <c r="G3" s="6" t="inlineStr">
        <is>
          <t>What you observed (exact)</t>
        </is>
      </c>
      <c r="H3" s="6" t="inlineStr">
        <is>
          <t>Where you found it</t>
        </is>
      </c>
      <c r="I3" s="6" t="inlineStr">
        <is>
          <t>Date it happened</t>
        </is>
      </c>
      <c r="J3" s="6" t="inlineStr">
        <is>
          <t>Days old</t>
        </is>
      </c>
      <c r="K3" s="6" t="inlineStr">
        <is>
          <t>Window (days)</t>
        </is>
      </c>
      <c r="L3" s="6" t="inlineStr">
        <is>
          <t>Still fresh?</t>
        </is>
      </c>
    </row>
    <row r="4">
      <c r="A4" s="7" t="inlineStr">
        <is>
          <t>TRG-001</t>
        </is>
      </c>
      <c r="B4" s="7" t="inlineStr">
        <is>
          <t>ACC-001</t>
        </is>
      </c>
      <c r="C4" s="7" t="inlineStr">
        <is>
          <t>(example) Northgate Dental</t>
        </is>
      </c>
      <c r="D4" s="7" t="inlineStr">
        <is>
          <t>Move / relocation</t>
        </is>
      </c>
      <c r="E4" s="7">
        <f>IF(D4="","",IFERROR(VLOOKUP(D4,'Trigger Library'!$B$4:$E$14,2,FALSE),""))</f>
        <v/>
      </c>
      <c r="F4" s="7">
        <f>IF(OR(D4="",H4="",I4=""),0,IFERROR(VLOOKUP(D4,'Trigger Library'!$B$4:$E$14,3,FALSE),0))</f>
        <v/>
      </c>
      <c r="G4" s="7" t="inlineStr">
        <is>
          <t>Listing address changed to 5910 N MacArthur Blvd</t>
        </is>
      </c>
      <c r="H4" s="7" t="inlineStr">
        <is>
          <t>Google Business Profile</t>
        </is>
      </c>
      <c r="I4" s="7">
        <f>TODAY()-26</f>
        <v/>
      </c>
      <c r="J4" s="7">
        <f>IF(I4="","",TODAY()-I4)</f>
        <v/>
      </c>
      <c r="K4" s="7">
        <f>IF(D4="","",IFERROR(VLOOKUP(D4,'Trigger Library'!$B$4:$E$14,4,FALSE),""))</f>
        <v/>
      </c>
      <c r="L4" s="7">
        <f>IF(OR(J4="",K4=""),"",IF(J4&lt;=K4,"Fresh","Expired"))</f>
        <v/>
      </c>
    </row>
    <row r="5">
      <c r="A5" s="7" t="inlineStr">
        <is>
          <t>TRG-002</t>
        </is>
      </c>
      <c r="B5" s="7" t="inlineStr">
        <is>
          <t>ACC-003</t>
        </is>
      </c>
      <c r="C5" s="7" t="inlineStr">
        <is>
          <t>(example) Foster Property Group</t>
        </is>
      </c>
      <c r="D5" s="7" t="inlineStr">
        <is>
          <t>Property management change</t>
        </is>
      </c>
      <c r="E5" s="7">
        <f>IF(D5="","",IFERROR(VLOOKUP(D5,'Trigger Library'!$B$4:$E$14,2,FALSE),""))</f>
        <v/>
      </c>
      <c r="F5" s="7">
        <f>IF(OR(D5="",H5="",I5=""),0,IFERROR(VLOOKUP(D5,'Trigger Library'!$B$4:$E$14,3,FALSE),0))</f>
        <v/>
      </c>
      <c r="G5" s="7" t="inlineStr">
        <is>
          <t>Elm Street building added to their portfolio page</t>
        </is>
      </c>
      <c r="H5" s="7" t="inlineStr">
        <is>
          <t>Company website - portfolio</t>
        </is>
      </c>
      <c r="I5" s="7">
        <f>TODAY()-34</f>
        <v/>
      </c>
      <c r="J5" s="7">
        <f>IF(I5="","",TODAY()-I5)</f>
        <v/>
      </c>
      <c r="K5" s="7">
        <f>IF(D5="","",IFERROR(VLOOKUP(D5,'Trigger Library'!$B$4:$E$14,4,FALSE),""))</f>
        <v/>
      </c>
      <c r="L5" s="7">
        <f>IF(OR(J5="",K5=""),"",IF(J5&lt;=K5,"Fresh","Expired"))</f>
        <v/>
      </c>
    </row>
    <row r="6">
      <c r="A6" s="7" t="inlineStr">
        <is>
          <t>TRG-003</t>
        </is>
      </c>
      <c r="B6" s="7" t="inlineStr">
        <is>
          <t>ACC-002</t>
        </is>
      </c>
      <c r="C6" s="7" t="inlineStr">
        <is>
          <t>(example) Cedar Ridge Offices</t>
        </is>
      </c>
      <c r="D6" s="7" t="inlineStr">
        <is>
          <t>Facilities or ops hiring</t>
        </is>
      </c>
      <c r="E6" s="7">
        <f>IF(D6="","",IFERROR(VLOOKUP(D6,'Trigger Library'!$B$4:$E$14,2,FALSE),""))</f>
        <v/>
      </c>
      <c r="F6" s="7">
        <f>IF(OR(D6="",H6="",I6=""),0,IFERROR(VLOOKUP(D6,'Trigger Library'!$B$4:$E$14,3,FALSE),0))</f>
        <v/>
      </c>
      <c r="G6" s="7" t="inlineStr">
        <is>
          <t>Job post: "Office Manager", published 2 weeks ago</t>
        </is>
      </c>
      <c r="H6" s="7" t="inlineStr">
        <is>
          <t>Indeed</t>
        </is>
      </c>
      <c r="I6" s="7">
        <f>TODAY()-14</f>
        <v/>
      </c>
      <c r="J6" s="7">
        <f>IF(I6="","",TODAY()-I6)</f>
        <v/>
      </c>
      <c r="K6" s="7">
        <f>IF(D6="","",IFERROR(VLOOKUP(D6,'Trigger Library'!$B$4:$E$14,4,FALSE),""))</f>
        <v/>
      </c>
      <c r="L6" s="7">
        <f>IF(OR(J6="",K6=""),"",IF(J6&lt;=K6,"Fresh","Expired"))</f>
        <v/>
      </c>
    </row>
    <row r="7">
      <c r="A7" s="7" t="n"/>
      <c r="B7" s="7" t="n"/>
      <c r="C7" s="7" t="n"/>
      <c r="D7" s="7" t="n"/>
      <c r="E7" s="9">
        <f>IF(D7="","",IFERROR(VLOOKUP(D7,'Trigger Library'!$B$4:$E$14,2,FALSE),""))</f>
        <v/>
      </c>
      <c r="F7" s="9">
        <f>IF(OR(D7="",H7="",I7=""),0,IFERROR(VLOOKUP(D7,'Trigger Library'!$B$4:$E$14,3,FALSE),0))</f>
        <v/>
      </c>
      <c r="G7" s="7" t="n"/>
      <c r="H7" s="7" t="n"/>
      <c r="I7" s="7" t="n"/>
      <c r="J7" s="9">
        <f>IF(I7="","",TODAY()-I7)</f>
        <v/>
      </c>
      <c r="K7" s="9">
        <f>IF(D7="","",IFERROR(VLOOKUP(D7,'Trigger Library'!$B$4:$E$14,4,FALSE),""))</f>
        <v/>
      </c>
      <c r="L7" s="9">
        <f>IF(OR(J7="",K7=""),"",IF(J7&lt;=K7,"Fresh","Expired"))</f>
        <v/>
      </c>
    </row>
    <row r="8">
      <c r="A8" s="7" t="n"/>
      <c r="B8" s="7" t="n"/>
      <c r="C8" s="7" t="n"/>
      <c r="D8" s="7" t="n"/>
      <c r="E8" s="9">
        <f>IF(D8="","",IFERROR(VLOOKUP(D8,'Trigger Library'!$B$4:$E$14,2,FALSE),""))</f>
        <v/>
      </c>
      <c r="F8" s="9">
        <f>IF(OR(D8="",H8="",I8=""),0,IFERROR(VLOOKUP(D8,'Trigger Library'!$B$4:$E$14,3,FALSE),0))</f>
        <v/>
      </c>
      <c r="G8" s="7" t="n"/>
      <c r="H8" s="7" t="n"/>
      <c r="I8" s="7" t="n"/>
      <c r="J8" s="9">
        <f>IF(I8="","",TODAY()-I8)</f>
        <v/>
      </c>
      <c r="K8" s="9">
        <f>IF(D8="","",IFERROR(VLOOKUP(D8,'Trigger Library'!$B$4:$E$14,4,FALSE),""))</f>
        <v/>
      </c>
      <c r="L8" s="9">
        <f>IF(OR(J8="",K8=""),"",IF(J8&lt;=K8,"Fresh","Expired"))</f>
        <v/>
      </c>
    </row>
    <row r="9">
      <c r="A9" s="7" t="n"/>
      <c r="B9" s="7" t="n"/>
      <c r="C9" s="7" t="n"/>
      <c r="D9" s="7" t="n"/>
      <c r="E9" s="9">
        <f>IF(D9="","",IFERROR(VLOOKUP(D9,'Trigger Library'!$B$4:$E$14,2,FALSE),""))</f>
        <v/>
      </c>
      <c r="F9" s="9">
        <f>IF(OR(D9="",H9="",I9=""),0,IFERROR(VLOOKUP(D9,'Trigger Library'!$B$4:$E$14,3,FALSE),0))</f>
        <v/>
      </c>
      <c r="G9" s="7" t="n"/>
      <c r="H9" s="7" t="n"/>
      <c r="I9" s="7" t="n"/>
      <c r="J9" s="9">
        <f>IF(I9="","",TODAY()-I9)</f>
        <v/>
      </c>
      <c r="K9" s="9">
        <f>IF(D9="","",IFERROR(VLOOKUP(D9,'Trigger Library'!$B$4:$E$14,4,FALSE),""))</f>
        <v/>
      </c>
      <c r="L9" s="9">
        <f>IF(OR(J9="",K9=""),"",IF(J9&lt;=K9,"Fresh","Expired"))</f>
        <v/>
      </c>
    </row>
    <row r="10">
      <c r="A10" s="7" t="n"/>
      <c r="B10" s="7" t="n"/>
      <c r="C10" s="7" t="n"/>
      <c r="D10" s="7" t="n"/>
      <c r="E10" s="9">
        <f>IF(D10="","",IFERROR(VLOOKUP(D10,'Trigger Library'!$B$4:$E$14,2,FALSE),""))</f>
        <v/>
      </c>
      <c r="F10" s="9">
        <f>IF(OR(D10="",H10="",I10=""),0,IFERROR(VLOOKUP(D10,'Trigger Library'!$B$4:$E$14,3,FALSE),0))</f>
        <v/>
      </c>
      <c r="G10" s="7" t="n"/>
      <c r="H10" s="7" t="n"/>
      <c r="I10" s="7" t="n"/>
      <c r="J10" s="9">
        <f>IF(I10="","",TODAY()-I10)</f>
        <v/>
      </c>
      <c r="K10" s="9">
        <f>IF(D10="","",IFERROR(VLOOKUP(D10,'Trigger Library'!$B$4:$E$14,4,FALSE),""))</f>
        <v/>
      </c>
      <c r="L10" s="9">
        <f>IF(OR(J10="",K10=""),"",IF(J10&lt;=K10,"Fresh","Expired"))</f>
        <v/>
      </c>
    </row>
    <row r="11">
      <c r="A11" s="7" t="n"/>
      <c r="B11" s="7" t="n"/>
      <c r="C11" s="7" t="n"/>
      <c r="D11" s="7" t="n"/>
      <c r="E11" s="9">
        <f>IF(D11="","",IFERROR(VLOOKUP(D11,'Trigger Library'!$B$4:$E$14,2,FALSE),""))</f>
        <v/>
      </c>
      <c r="F11" s="9">
        <f>IF(OR(D11="",H11="",I11=""),0,IFERROR(VLOOKUP(D11,'Trigger Library'!$B$4:$E$14,3,FALSE),0))</f>
        <v/>
      </c>
      <c r="G11" s="7" t="n"/>
      <c r="H11" s="7" t="n"/>
      <c r="I11" s="7" t="n"/>
      <c r="J11" s="9">
        <f>IF(I11="","",TODAY()-I11)</f>
        <v/>
      </c>
      <c r="K11" s="9">
        <f>IF(D11="","",IFERROR(VLOOKUP(D11,'Trigger Library'!$B$4:$E$14,4,FALSE),""))</f>
        <v/>
      </c>
      <c r="L11" s="9">
        <f>IF(OR(J11="",K11=""),"",IF(J11&lt;=K11,"Fresh","Expired"))</f>
        <v/>
      </c>
    </row>
    <row r="12">
      <c r="A12" s="7" t="n"/>
      <c r="B12" s="7" t="n"/>
      <c r="C12" s="7" t="n"/>
      <c r="D12" s="7" t="n"/>
      <c r="E12" s="9">
        <f>IF(D12="","",IFERROR(VLOOKUP(D12,'Trigger Library'!$B$4:$E$14,2,FALSE),""))</f>
        <v/>
      </c>
      <c r="F12" s="9">
        <f>IF(OR(D12="",H12="",I12=""),0,IFERROR(VLOOKUP(D12,'Trigger Library'!$B$4:$E$14,3,FALSE),0))</f>
        <v/>
      </c>
      <c r="G12" s="7" t="n"/>
      <c r="H12" s="7" t="n"/>
      <c r="I12" s="7" t="n"/>
      <c r="J12" s="9">
        <f>IF(I12="","",TODAY()-I12)</f>
        <v/>
      </c>
      <c r="K12" s="9">
        <f>IF(D12="","",IFERROR(VLOOKUP(D12,'Trigger Library'!$B$4:$E$14,4,FALSE),""))</f>
        <v/>
      </c>
      <c r="L12" s="9">
        <f>IF(OR(J12="",K12=""),"",IF(J12&lt;=K12,"Fresh","Expired"))</f>
        <v/>
      </c>
    </row>
    <row r="13">
      <c r="A13" s="7" t="n"/>
      <c r="B13" s="7" t="n"/>
      <c r="C13" s="7" t="n"/>
      <c r="D13" s="7" t="n"/>
      <c r="E13" s="9">
        <f>IF(D13="","",IFERROR(VLOOKUP(D13,'Trigger Library'!$B$4:$E$14,2,FALSE),""))</f>
        <v/>
      </c>
      <c r="F13" s="9">
        <f>IF(OR(D13="",H13="",I13=""),0,IFERROR(VLOOKUP(D13,'Trigger Library'!$B$4:$E$14,3,FALSE),0))</f>
        <v/>
      </c>
      <c r="G13" s="7" t="n"/>
      <c r="H13" s="7" t="n"/>
      <c r="I13" s="7" t="n"/>
      <c r="J13" s="9">
        <f>IF(I13="","",TODAY()-I13)</f>
        <v/>
      </c>
      <c r="K13" s="9">
        <f>IF(D13="","",IFERROR(VLOOKUP(D13,'Trigger Library'!$B$4:$E$14,4,FALSE),""))</f>
        <v/>
      </c>
      <c r="L13" s="9">
        <f>IF(OR(J13="",K13=""),"",IF(J13&lt;=K13,"Fresh","Expired"))</f>
        <v/>
      </c>
    </row>
    <row r="14">
      <c r="A14" s="7" t="n"/>
      <c r="B14" s="7" t="n"/>
      <c r="C14" s="7" t="n"/>
      <c r="D14" s="7" t="n"/>
      <c r="E14" s="9">
        <f>IF(D14="","",IFERROR(VLOOKUP(D14,'Trigger Library'!$B$4:$E$14,2,FALSE),""))</f>
        <v/>
      </c>
      <c r="F14" s="9">
        <f>IF(OR(D14="",H14="",I14=""),0,IFERROR(VLOOKUP(D14,'Trigger Library'!$B$4:$E$14,3,FALSE),0))</f>
        <v/>
      </c>
      <c r="G14" s="7" t="n"/>
      <c r="H14" s="7" t="n"/>
      <c r="I14" s="7" t="n"/>
      <c r="J14" s="9">
        <f>IF(I14="","",TODAY()-I14)</f>
        <v/>
      </c>
      <c r="K14" s="9">
        <f>IF(D14="","",IFERROR(VLOOKUP(D14,'Trigger Library'!$B$4:$E$14,4,FALSE),""))</f>
        <v/>
      </c>
      <c r="L14" s="9">
        <f>IF(OR(J14="",K14=""),"",IF(J14&lt;=K14,"Fresh","Expired"))</f>
        <v/>
      </c>
    </row>
    <row r="15">
      <c r="A15" s="7" t="n"/>
      <c r="B15" s="7" t="n"/>
      <c r="C15" s="7" t="n"/>
      <c r="D15" s="7" t="n"/>
      <c r="E15" s="9">
        <f>IF(D15="","",IFERROR(VLOOKUP(D15,'Trigger Library'!$B$4:$E$14,2,FALSE),""))</f>
        <v/>
      </c>
      <c r="F15" s="9">
        <f>IF(OR(D15="",H15="",I15=""),0,IFERROR(VLOOKUP(D15,'Trigger Library'!$B$4:$E$14,3,FALSE),0))</f>
        <v/>
      </c>
      <c r="G15" s="7" t="n"/>
      <c r="H15" s="7" t="n"/>
      <c r="I15" s="7" t="n"/>
      <c r="J15" s="9">
        <f>IF(I15="","",TODAY()-I15)</f>
        <v/>
      </c>
      <c r="K15" s="9">
        <f>IF(D15="","",IFERROR(VLOOKUP(D15,'Trigger Library'!$B$4:$E$14,4,FALSE),""))</f>
        <v/>
      </c>
      <c r="L15" s="9">
        <f>IF(OR(J15="",K15=""),"",IF(J15&lt;=K15,"Fresh","Expired"))</f>
        <v/>
      </c>
    </row>
    <row r="16">
      <c r="A16" s="7" t="n"/>
      <c r="B16" s="7" t="n"/>
      <c r="C16" s="7" t="n"/>
      <c r="D16" s="7" t="n"/>
      <c r="E16" s="9">
        <f>IF(D16="","",IFERROR(VLOOKUP(D16,'Trigger Library'!$B$4:$E$14,2,FALSE),""))</f>
        <v/>
      </c>
      <c r="F16" s="9">
        <f>IF(OR(D16="",H16="",I16=""),0,IFERROR(VLOOKUP(D16,'Trigger Library'!$B$4:$E$14,3,FALSE),0))</f>
        <v/>
      </c>
      <c r="G16" s="7" t="n"/>
      <c r="H16" s="7" t="n"/>
      <c r="I16" s="7" t="n"/>
      <c r="J16" s="9">
        <f>IF(I16="","",TODAY()-I16)</f>
        <v/>
      </c>
      <c r="K16" s="9">
        <f>IF(D16="","",IFERROR(VLOOKUP(D16,'Trigger Library'!$B$4:$E$14,4,FALSE),""))</f>
        <v/>
      </c>
      <c r="L16" s="9">
        <f>IF(OR(J16="",K16=""),"",IF(J16&lt;=K16,"Fresh","Expired"))</f>
        <v/>
      </c>
    </row>
    <row r="17">
      <c r="A17" s="7" t="n"/>
      <c r="B17" s="7" t="n"/>
      <c r="C17" s="7" t="n"/>
      <c r="D17" s="7" t="n"/>
      <c r="E17" s="9">
        <f>IF(D17="","",IFERROR(VLOOKUP(D17,'Trigger Library'!$B$4:$E$14,2,FALSE),""))</f>
        <v/>
      </c>
      <c r="F17" s="9">
        <f>IF(OR(D17="",H17="",I17=""),0,IFERROR(VLOOKUP(D17,'Trigger Library'!$B$4:$E$14,3,FALSE),0))</f>
        <v/>
      </c>
      <c r="G17" s="7" t="n"/>
      <c r="H17" s="7" t="n"/>
      <c r="I17" s="7" t="n"/>
      <c r="J17" s="9">
        <f>IF(I17="","",TODAY()-I17)</f>
        <v/>
      </c>
      <c r="K17" s="9">
        <f>IF(D17="","",IFERROR(VLOOKUP(D17,'Trigger Library'!$B$4:$E$14,4,FALSE),""))</f>
        <v/>
      </c>
      <c r="L17" s="9">
        <f>IF(OR(J17="",K17=""),"",IF(J17&lt;=K17,"Fresh","Expired"))</f>
        <v/>
      </c>
    </row>
    <row r="18">
      <c r="A18" s="7" t="n"/>
      <c r="B18" s="7" t="n"/>
      <c r="C18" s="7" t="n"/>
      <c r="D18" s="7" t="n"/>
      <c r="E18" s="9">
        <f>IF(D18="","",IFERROR(VLOOKUP(D18,'Trigger Library'!$B$4:$E$14,2,FALSE),""))</f>
        <v/>
      </c>
      <c r="F18" s="9">
        <f>IF(OR(D18="",H18="",I18=""),0,IFERROR(VLOOKUP(D18,'Trigger Library'!$B$4:$E$14,3,FALSE),0))</f>
        <v/>
      </c>
      <c r="G18" s="7" t="n"/>
      <c r="H18" s="7" t="n"/>
      <c r="I18" s="7" t="n"/>
      <c r="J18" s="9">
        <f>IF(I18="","",TODAY()-I18)</f>
        <v/>
      </c>
      <c r="K18" s="9">
        <f>IF(D18="","",IFERROR(VLOOKUP(D18,'Trigger Library'!$B$4:$E$14,4,FALSE),""))</f>
        <v/>
      </c>
      <c r="L18" s="9">
        <f>IF(OR(J18="",K18=""),"",IF(J18&lt;=K18,"Fresh","Expired"))</f>
        <v/>
      </c>
    </row>
    <row r="19">
      <c r="A19" s="7" t="n"/>
      <c r="B19" s="7" t="n"/>
      <c r="C19" s="7" t="n"/>
      <c r="D19" s="7" t="n"/>
      <c r="E19" s="9">
        <f>IF(D19="","",IFERROR(VLOOKUP(D19,'Trigger Library'!$B$4:$E$14,2,FALSE),""))</f>
        <v/>
      </c>
      <c r="F19" s="9">
        <f>IF(OR(D19="",H19="",I19=""),0,IFERROR(VLOOKUP(D19,'Trigger Library'!$B$4:$E$14,3,FALSE),0))</f>
        <v/>
      </c>
      <c r="G19" s="7" t="n"/>
      <c r="H19" s="7" t="n"/>
      <c r="I19" s="7" t="n"/>
      <c r="J19" s="9">
        <f>IF(I19="","",TODAY()-I19)</f>
        <v/>
      </c>
      <c r="K19" s="9">
        <f>IF(D19="","",IFERROR(VLOOKUP(D19,'Trigger Library'!$B$4:$E$14,4,FALSE),""))</f>
        <v/>
      </c>
      <c r="L19" s="9">
        <f>IF(OR(J19="",K19=""),"",IF(J19&lt;=K19,"Fresh","Expired"))</f>
        <v/>
      </c>
    </row>
    <row r="20">
      <c r="A20" s="7" t="n"/>
      <c r="B20" s="7" t="n"/>
      <c r="C20" s="7" t="n"/>
      <c r="D20" s="7" t="n"/>
      <c r="E20" s="9">
        <f>IF(D20="","",IFERROR(VLOOKUP(D20,'Trigger Library'!$B$4:$E$14,2,FALSE),""))</f>
        <v/>
      </c>
      <c r="F20" s="9">
        <f>IF(OR(D20="",H20="",I20=""),0,IFERROR(VLOOKUP(D20,'Trigger Library'!$B$4:$E$14,3,FALSE),0))</f>
        <v/>
      </c>
      <c r="G20" s="7" t="n"/>
      <c r="H20" s="7" t="n"/>
      <c r="I20" s="7" t="n"/>
      <c r="J20" s="9">
        <f>IF(I20="","",TODAY()-I20)</f>
        <v/>
      </c>
      <c r="K20" s="9">
        <f>IF(D20="","",IFERROR(VLOOKUP(D20,'Trigger Library'!$B$4:$E$14,4,FALSE),""))</f>
        <v/>
      </c>
      <c r="L20" s="9">
        <f>IF(OR(J20="",K20=""),"",IF(J20&lt;=K20,"Fresh","Expired"))</f>
        <v/>
      </c>
    </row>
    <row r="21">
      <c r="A21" s="7" t="n"/>
      <c r="B21" s="7" t="n"/>
      <c r="C21" s="7" t="n"/>
      <c r="D21" s="7" t="n"/>
      <c r="E21" s="9">
        <f>IF(D21="","",IFERROR(VLOOKUP(D21,'Trigger Library'!$B$4:$E$14,2,FALSE),""))</f>
        <v/>
      </c>
      <c r="F21" s="9">
        <f>IF(OR(D21="",H21="",I21=""),0,IFERROR(VLOOKUP(D21,'Trigger Library'!$B$4:$E$14,3,FALSE),0))</f>
        <v/>
      </c>
      <c r="G21" s="7" t="n"/>
      <c r="H21" s="7" t="n"/>
      <c r="I21" s="7" t="n"/>
      <c r="J21" s="9">
        <f>IF(I21="","",TODAY()-I21)</f>
        <v/>
      </c>
      <c r="K21" s="9">
        <f>IF(D21="","",IFERROR(VLOOKUP(D21,'Trigger Library'!$B$4:$E$14,4,FALSE),""))</f>
        <v/>
      </c>
      <c r="L21" s="9">
        <f>IF(OR(J21="",K21=""),"",IF(J21&lt;=K21,"Fresh","Expired"))</f>
        <v/>
      </c>
    </row>
    <row r="22">
      <c r="A22" s="7" t="n"/>
      <c r="B22" s="7" t="n"/>
      <c r="C22" s="7" t="n"/>
      <c r="D22" s="7" t="n"/>
      <c r="E22" s="9">
        <f>IF(D22="","",IFERROR(VLOOKUP(D22,'Trigger Library'!$B$4:$E$14,2,FALSE),""))</f>
        <v/>
      </c>
      <c r="F22" s="9">
        <f>IF(OR(D22="",H22="",I22=""),0,IFERROR(VLOOKUP(D22,'Trigger Library'!$B$4:$E$14,3,FALSE),0))</f>
        <v/>
      </c>
      <c r="G22" s="7" t="n"/>
      <c r="H22" s="7" t="n"/>
      <c r="I22" s="7" t="n"/>
      <c r="J22" s="9">
        <f>IF(I22="","",TODAY()-I22)</f>
        <v/>
      </c>
      <c r="K22" s="9">
        <f>IF(D22="","",IFERROR(VLOOKUP(D22,'Trigger Library'!$B$4:$E$14,4,FALSE),""))</f>
        <v/>
      </c>
      <c r="L22" s="9">
        <f>IF(OR(J22="",K22=""),"",IF(J22&lt;=K22,"Fresh","Expired"))</f>
        <v/>
      </c>
    </row>
    <row r="23">
      <c r="A23" s="7" t="n"/>
      <c r="B23" s="7" t="n"/>
      <c r="C23" s="7" t="n"/>
      <c r="D23" s="7" t="n"/>
      <c r="E23" s="9">
        <f>IF(D23="","",IFERROR(VLOOKUP(D23,'Trigger Library'!$B$4:$E$14,2,FALSE),""))</f>
        <v/>
      </c>
      <c r="F23" s="9">
        <f>IF(OR(D23="",H23="",I23=""),0,IFERROR(VLOOKUP(D23,'Trigger Library'!$B$4:$E$14,3,FALSE),0))</f>
        <v/>
      </c>
      <c r="G23" s="7" t="n"/>
      <c r="H23" s="7" t="n"/>
      <c r="I23" s="7" t="n"/>
      <c r="J23" s="9">
        <f>IF(I23="","",TODAY()-I23)</f>
        <v/>
      </c>
      <c r="K23" s="9">
        <f>IF(D23="","",IFERROR(VLOOKUP(D23,'Trigger Library'!$B$4:$E$14,4,FALSE),""))</f>
        <v/>
      </c>
      <c r="L23" s="9">
        <f>IF(OR(J23="",K23=""),"",IF(J23&lt;=K23,"Fresh","Expired"))</f>
        <v/>
      </c>
    </row>
    <row r="24">
      <c r="A24" s="7" t="n"/>
      <c r="B24" s="7" t="n"/>
      <c r="C24" s="7" t="n"/>
      <c r="D24" s="7" t="n"/>
      <c r="E24" s="9">
        <f>IF(D24="","",IFERROR(VLOOKUP(D24,'Trigger Library'!$B$4:$E$14,2,FALSE),""))</f>
        <v/>
      </c>
      <c r="F24" s="9">
        <f>IF(OR(D24="",H24="",I24=""),0,IFERROR(VLOOKUP(D24,'Trigger Library'!$B$4:$E$14,3,FALSE),0))</f>
        <v/>
      </c>
      <c r="G24" s="7" t="n"/>
      <c r="H24" s="7" t="n"/>
      <c r="I24" s="7" t="n"/>
      <c r="J24" s="9">
        <f>IF(I24="","",TODAY()-I24)</f>
        <v/>
      </c>
      <c r="K24" s="9">
        <f>IF(D24="","",IFERROR(VLOOKUP(D24,'Trigger Library'!$B$4:$E$14,4,FALSE),""))</f>
        <v/>
      </c>
      <c r="L24" s="9">
        <f>IF(OR(J24="",K24=""),"",IF(J24&lt;=K24,"Fresh","Expired"))</f>
        <v/>
      </c>
    </row>
    <row r="25">
      <c r="A25" s="7" t="n"/>
      <c r="B25" s="7" t="n"/>
      <c r="C25" s="7" t="n"/>
      <c r="D25" s="7" t="n"/>
      <c r="E25" s="9">
        <f>IF(D25="","",IFERROR(VLOOKUP(D25,'Trigger Library'!$B$4:$E$14,2,FALSE),""))</f>
        <v/>
      </c>
      <c r="F25" s="9">
        <f>IF(OR(D25="",H25="",I25=""),0,IFERROR(VLOOKUP(D25,'Trigger Library'!$B$4:$E$14,3,FALSE),0))</f>
        <v/>
      </c>
      <c r="G25" s="7" t="n"/>
      <c r="H25" s="7" t="n"/>
      <c r="I25" s="7" t="n"/>
      <c r="J25" s="9">
        <f>IF(I25="","",TODAY()-I25)</f>
        <v/>
      </c>
      <c r="K25" s="9">
        <f>IF(D25="","",IFERROR(VLOOKUP(D25,'Trigger Library'!$B$4:$E$14,4,FALSE),""))</f>
        <v/>
      </c>
      <c r="L25" s="9">
        <f>IF(OR(J25="",K25=""),"",IF(J25&lt;=K25,"Fresh","Expired"))</f>
        <v/>
      </c>
    </row>
    <row r="26">
      <c r="A26" s="7" t="n"/>
      <c r="B26" s="7" t="n"/>
      <c r="C26" s="7" t="n"/>
      <c r="D26" s="7" t="n"/>
      <c r="E26" s="9">
        <f>IF(D26="","",IFERROR(VLOOKUP(D26,'Trigger Library'!$B$4:$E$14,2,FALSE),""))</f>
        <v/>
      </c>
      <c r="F26" s="9">
        <f>IF(OR(D26="",H26="",I26=""),0,IFERROR(VLOOKUP(D26,'Trigger Library'!$B$4:$E$14,3,FALSE),0))</f>
        <v/>
      </c>
      <c r="G26" s="7" t="n"/>
      <c r="H26" s="7" t="n"/>
      <c r="I26" s="7" t="n"/>
      <c r="J26" s="9">
        <f>IF(I26="","",TODAY()-I26)</f>
        <v/>
      </c>
      <c r="K26" s="9">
        <f>IF(D26="","",IFERROR(VLOOKUP(D26,'Trigger Library'!$B$4:$E$14,4,FALSE),""))</f>
        <v/>
      </c>
      <c r="L26" s="9">
        <f>IF(OR(J26="",K26=""),"",IF(J26&lt;=K26,"Fresh","Expired"))</f>
        <v/>
      </c>
    </row>
    <row r="27">
      <c r="A27" s="7" t="n"/>
      <c r="B27" s="7" t="n"/>
      <c r="C27" s="7" t="n"/>
      <c r="D27" s="7" t="n"/>
      <c r="E27" s="9">
        <f>IF(D27="","",IFERROR(VLOOKUP(D27,'Trigger Library'!$B$4:$E$14,2,FALSE),""))</f>
        <v/>
      </c>
      <c r="F27" s="9">
        <f>IF(OR(D27="",H27="",I27=""),0,IFERROR(VLOOKUP(D27,'Trigger Library'!$B$4:$E$14,3,FALSE),0))</f>
        <v/>
      </c>
      <c r="G27" s="7" t="n"/>
      <c r="H27" s="7" t="n"/>
      <c r="I27" s="7" t="n"/>
      <c r="J27" s="9">
        <f>IF(I27="","",TODAY()-I27)</f>
        <v/>
      </c>
      <c r="K27" s="9">
        <f>IF(D27="","",IFERROR(VLOOKUP(D27,'Trigger Library'!$B$4:$E$14,4,FALSE),""))</f>
        <v/>
      </c>
      <c r="L27" s="9">
        <f>IF(OR(J27="",K27=""),"",IF(J27&lt;=K27,"Fresh","Expired"))</f>
        <v/>
      </c>
    </row>
    <row r="28">
      <c r="A28" s="7" t="n"/>
      <c r="B28" s="7" t="n"/>
      <c r="C28" s="7" t="n"/>
      <c r="D28" s="7" t="n"/>
      <c r="E28" s="9">
        <f>IF(D28="","",IFERROR(VLOOKUP(D28,'Trigger Library'!$B$4:$E$14,2,FALSE),""))</f>
        <v/>
      </c>
      <c r="F28" s="9">
        <f>IF(OR(D28="",H28="",I28=""),0,IFERROR(VLOOKUP(D28,'Trigger Library'!$B$4:$E$14,3,FALSE),0))</f>
        <v/>
      </c>
      <c r="G28" s="7" t="n"/>
      <c r="H28" s="7" t="n"/>
      <c r="I28" s="7" t="n"/>
      <c r="J28" s="9">
        <f>IF(I28="","",TODAY()-I28)</f>
        <v/>
      </c>
      <c r="K28" s="9">
        <f>IF(D28="","",IFERROR(VLOOKUP(D28,'Trigger Library'!$B$4:$E$14,4,FALSE),""))</f>
        <v/>
      </c>
      <c r="L28" s="9">
        <f>IF(OR(J28="",K28=""),"",IF(J28&lt;=K28,"Fresh","Expired"))</f>
        <v/>
      </c>
    </row>
    <row r="29">
      <c r="A29" s="7" t="n"/>
      <c r="B29" s="7" t="n"/>
      <c r="C29" s="7" t="n"/>
      <c r="D29" s="7" t="n"/>
      <c r="E29" s="9">
        <f>IF(D29="","",IFERROR(VLOOKUP(D29,'Trigger Library'!$B$4:$E$14,2,FALSE),""))</f>
        <v/>
      </c>
      <c r="F29" s="9">
        <f>IF(OR(D29="",H29="",I29=""),0,IFERROR(VLOOKUP(D29,'Trigger Library'!$B$4:$E$14,3,FALSE),0))</f>
        <v/>
      </c>
      <c r="G29" s="7" t="n"/>
      <c r="H29" s="7" t="n"/>
      <c r="I29" s="7" t="n"/>
      <c r="J29" s="9">
        <f>IF(I29="","",TODAY()-I29)</f>
        <v/>
      </c>
      <c r="K29" s="9">
        <f>IF(D29="","",IFERROR(VLOOKUP(D29,'Trigger Library'!$B$4:$E$14,4,FALSE),""))</f>
        <v/>
      </c>
      <c r="L29" s="9">
        <f>IF(OR(J29="",K29=""),"",IF(J29&lt;=K29,"Fresh","Expired"))</f>
        <v/>
      </c>
    </row>
    <row r="30">
      <c r="A30" s="7" t="n"/>
      <c r="B30" s="7" t="n"/>
      <c r="C30" s="7" t="n"/>
      <c r="D30" s="7" t="n"/>
      <c r="E30" s="9">
        <f>IF(D30="","",IFERROR(VLOOKUP(D30,'Trigger Library'!$B$4:$E$14,2,FALSE),""))</f>
        <v/>
      </c>
      <c r="F30" s="9">
        <f>IF(OR(D30="",H30="",I30=""),0,IFERROR(VLOOKUP(D30,'Trigger Library'!$B$4:$E$14,3,FALSE),0))</f>
        <v/>
      </c>
      <c r="G30" s="7" t="n"/>
      <c r="H30" s="7" t="n"/>
      <c r="I30" s="7" t="n"/>
      <c r="J30" s="9">
        <f>IF(I30="","",TODAY()-I30)</f>
        <v/>
      </c>
      <c r="K30" s="9">
        <f>IF(D30="","",IFERROR(VLOOKUP(D30,'Trigger Library'!$B$4:$E$14,4,FALSE),""))</f>
        <v/>
      </c>
      <c r="L30" s="9">
        <f>IF(OR(J30="",K30=""),"",IF(J30&lt;=K30,"Fresh","Expired"))</f>
        <v/>
      </c>
    </row>
    <row r="31">
      <c r="A31" s="7" t="n"/>
      <c r="B31" s="7" t="n"/>
      <c r="C31" s="7" t="n"/>
      <c r="D31" s="7" t="n"/>
      <c r="E31" s="9">
        <f>IF(D31="","",IFERROR(VLOOKUP(D31,'Trigger Library'!$B$4:$E$14,2,FALSE),""))</f>
        <v/>
      </c>
      <c r="F31" s="9">
        <f>IF(OR(D31="",H31="",I31=""),0,IFERROR(VLOOKUP(D31,'Trigger Library'!$B$4:$E$14,3,FALSE),0))</f>
        <v/>
      </c>
      <c r="G31" s="7" t="n"/>
      <c r="H31" s="7" t="n"/>
      <c r="I31" s="7" t="n"/>
      <c r="J31" s="9">
        <f>IF(I31="","",TODAY()-I31)</f>
        <v/>
      </c>
      <c r="K31" s="9">
        <f>IF(D31="","",IFERROR(VLOOKUP(D31,'Trigger Library'!$B$4:$E$14,4,FALSE),""))</f>
        <v/>
      </c>
      <c r="L31" s="9">
        <f>IF(OR(J31="",K31=""),"",IF(J31&lt;=K31,"Fresh","Expired"))</f>
        <v/>
      </c>
    </row>
    <row r="32">
      <c r="A32" s="7" t="n"/>
      <c r="B32" s="7" t="n"/>
      <c r="C32" s="7" t="n"/>
      <c r="D32" s="7" t="n"/>
      <c r="E32" s="9">
        <f>IF(D32="","",IFERROR(VLOOKUP(D32,'Trigger Library'!$B$4:$E$14,2,FALSE),""))</f>
        <v/>
      </c>
      <c r="F32" s="9">
        <f>IF(OR(D32="",H32="",I32=""),0,IFERROR(VLOOKUP(D32,'Trigger Library'!$B$4:$E$14,3,FALSE),0))</f>
        <v/>
      </c>
      <c r="G32" s="7" t="n"/>
      <c r="H32" s="7" t="n"/>
      <c r="I32" s="7" t="n"/>
      <c r="J32" s="9">
        <f>IF(I32="","",TODAY()-I32)</f>
        <v/>
      </c>
      <c r="K32" s="9">
        <f>IF(D32="","",IFERROR(VLOOKUP(D32,'Trigger Library'!$B$4:$E$14,4,FALSE),""))</f>
        <v/>
      </c>
      <c r="L32" s="9">
        <f>IF(OR(J32="",K32=""),"",IF(J32&lt;=K32,"Fresh","Expired"))</f>
        <v/>
      </c>
    </row>
    <row r="33">
      <c r="A33" s="7" t="n"/>
      <c r="B33" s="7" t="n"/>
      <c r="C33" s="7" t="n"/>
      <c r="D33" s="7" t="n"/>
      <c r="E33" s="9">
        <f>IF(D33="","",IFERROR(VLOOKUP(D33,'Trigger Library'!$B$4:$E$14,2,FALSE),""))</f>
        <v/>
      </c>
      <c r="F33" s="9">
        <f>IF(OR(D33="",H33="",I33=""),0,IFERROR(VLOOKUP(D33,'Trigger Library'!$B$4:$E$14,3,FALSE),0))</f>
        <v/>
      </c>
      <c r="G33" s="7" t="n"/>
      <c r="H33" s="7" t="n"/>
      <c r="I33" s="7" t="n"/>
      <c r="J33" s="9">
        <f>IF(I33="","",TODAY()-I33)</f>
        <v/>
      </c>
      <c r="K33" s="9">
        <f>IF(D33="","",IFERROR(VLOOKUP(D33,'Trigger Library'!$B$4:$E$14,4,FALSE),""))</f>
        <v/>
      </c>
      <c r="L33" s="9">
        <f>IF(OR(J33="",K33=""),"",IF(J33&lt;=K33,"Fresh","Expired"))</f>
        <v/>
      </c>
    </row>
    <row r="34">
      <c r="A34" s="7" t="n"/>
      <c r="B34" s="7" t="n"/>
      <c r="C34" s="7" t="n"/>
      <c r="D34" s="7" t="n"/>
      <c r="E34" s="9">
        <f>IF(D34="","",IFERROR(VLOOKUP(D34,'Trigger Library'!$B$4:$E$14,2,FALSE),""))</f>
        <v/>
      </c>
      <c r="F34" s="9">
        <f>IF(OR(D34="",H34="",I34=""),0,IFERROR(VLOOKUP(D34,'Trigger Library'!$B$4:$E$14,3,FALSE),0))</f>
        <v/>
      </c>
      <c r="G34" s="7" t="n"/>
      <c r="H34" s="7" t="n"/>
      <c r="I34" s="7" t="n"/>
      <c r="J34" s="9">
        <f>IF(I34="","",TODAY()-I34)</f>
        <v/>
      </c>
      <c r="K34" s="9">
        <f>IF(D34="","",IFERROR(VLOOKUP(D34,'Trigger Library'!$B$4:$E$14,4,FALSE),""))</f>
        <v/>
      </c>
      <c r="L34" s="9">
        <f>IF(OR(J34="",K34=""),"",IF(J34&lt;=K34,"Fresh","Expired"))</f>
        <v/>
      </c>
    </row>
    <row r="35">
      <c r="A35" s="7" t="n"/>
      <c r="B35" s="7" t="n"/>
      <c r="C35" s="7" t="n"/>
      <c r="D35" s="7" t="n"/>
      <c r="E35" s="9">
        <f>IF(D35="","",IFERROR(VLOOKUP(D35,'Trigger Library'!$B$4:$E$14,2,FALSE),""))</f>
        <v/>
      </c>
      <c r="F35" s="9">
        <f>IF(OR(D35="",H35="",I35=""),0,IFERROR(VLOOKUP(D35,'Trigger Library'!$B$4:$E$14,3,FALSE),0))</f>
        <v/>
      </c>
      <c r="G35" s="7" t="n"/>
      <c r="H35" s="7" t="n"/>
      <c r="I35" s="7" t="n"/>
      <c r="J35" s="9">
        <f>IF(I35="","",TODAY()-I35)</f>
        <v/>
      </c>
      <c r="K35" s="9">
        <f>IF(D35="","",IFERROR(VLOOKUP(D35,'Trigger Library'!$B$4:$E$14,4,FALSE),""))</f>
        <v/>
      </c>
      <c r="L35" s="9">
        <f>IF(OR(J35="",K35=""),"",IF(J35&lt;=K35,"Fresh","Expired"))</f>
        <v/>
      </c>
    </row>
    <row r="36">
      <c r="A36" s="7" t="n"/>
      <c r="B36" s="7" t="n"/>
      <c r="C36" s="7" t="n"/>
      <c r="D36" s="7" t="n"/>
      <c r="E36" s="9">
        <f>IF(D36="","",IFERROR(VLOOKUP(D36,'Trigger Library'!$B$4:$E$14,2,FALSE),""))</f>
        <v/>
      </c>
      <c r="F36" s="9">
        <f>IF(OR(D36="",H36="",I36=""),0,IFERROR(VLOOKUP(D36,'Trigger Library'!$B$4:$E$14,3,FALSE),0))</f>
        <v/>
      </c>
      <c r="G36" s="7" t="n"/>
      <c r="H36" s="7" t="n"/>
      <c r="I36" s="7" t="n"/>
      <c r="J36" s="9">
        <f>IF(I36="","",TODAY()-I36)</f>
        <v/>
      </c>
      <c r="K36" s="9">
        <f>IF(D36="","",IFERROR(VLOOKUP(D36,'Trigger Library'!$B$4:$E$14,4,FALSE),""))</f>
        <v/>
      </c>
      <c r="L36" s="9">
        <f>IF(OR(J36="",K36=""),"",IF(J36&lt;=K36,"Fresh","Expired"))</f>
        <v/>
      </c>
    </row>
    <row r="37">
      <c r="A37" s="7" t="n"/>
      <c r="B37" s="7" t="n"/>
      <c r="C37" s="7" t="n"/>
      <c r="D37" s="7" t="n"/>
      <c r="E37" s="9">
        <f>IF(D37="","",IFERROR(VLOOKUP(D37,'Trigger Library'!$B$4:$E$14,2,FALSE),""))</f>
        <v/>
      </c>
      <c r="F37" s="9">
        <f>IF(OR(D37="",H37="",I37=""),0,IFERROR(VLOOKUP(D37,'Trigger Library'!$B$4:$E$14,3,FALSE),0))</f>
        <v/>
      </c>
      <c r="G37" s="7" t="n"/>
      <c r="H37" s="7" t="n"/>
      <c r="I37" s="7" t="n"/>
      <c r="J37" s="9">
        <f>IF(I37="","",TODAY()-I37)</f>
        <v/>
      </c>
      <c r="K37" s="9">
        <f>IF(D37="","",IFERROR(VLOOKUP(D37,'Trigger Library'!$B$4:$E$14,4,FALSE),""))</f>
        <v/>
      </c>
      <c r="L37" s="9">
        <f>IF(OR(J37="",K37=""),"",IF(J37&lt;=K37,"Fresh","Expired"))</f>
        <v/>
      </c>
    </row>
    <row r="38">
      <c r="A38" s="7" t="n"/>
      <c r="B38" s="7" t="n"/>
      <c r="C38" s="7" t="n"/>
      <c r="D38" s="7" t="n"/>
      <c r="E38" s="9">
        <f>IF(D38="","",IFERROR(VLOOKUP(D38,'Trigger Library'!$B$4:$E$14,2,FALSE),""))</f>
        <v/>
      </c>
      <c r="F38" s="9">
        <f>IF(OR(D38="",H38="",I38=""),0,IFERROR(VLOOKUP(D38,'Trigger Library'!$B$4:$E$14,3,FALSE),0))</f>
        <v/>
      </c>
      <c r="G38" s="7" t="n"/>
      <c r="H38" s="7" t="n"/>
      <c r="I38" s="7" t="n"/>
      <c r="J38" s="9">
        <f>IF(I38="","",TODAY()-I38)</f>
        <v/>
      </c>
      <c r="K38" s="9">
        <f>IF(D38="","",IFERROR(VLOOKUP(D38,'Trigger Library'!$B$4:$E$14,4,FALSE),""))</f>
        <v/>
      </c>
      <c r="L38" s="9">
        <f>IF(OR(J38="",K38=""),"",IF(J38&lt;=K38,"Fresh","Expired"))</f>
        <v/>
      </c>
    </row>
    <row r="39">
      <c r="A39" s="7" t="n"/>
      <c r="B39" s="7" t="n"/>
      <c r="C39" s="7" t="n"/>
      <c r="D39" s="7" t="n"/>
      <c r="E39" s="9">
        <f>IF(D39="","",IFERROR(VLOOKUP(D39,'Trigger Library'!$B$4:$E$14,2,FALSE),""))</f>
        <v/>
      </c>
      <c r="F39" s="9">
        <f>IF(OR(D39="",H39="",I39=""),0,IFERROR(VLOOKUP(D39,'Trigger Library'!$B$4:$E$14,3,FALSE),0))</f>
        <v/>
      </c>
      <c r="G39" s="7" t="n"/>
      <c r="H39" s="7" t="n"/>
      <c r="I39" s="7" t="n"/>
      <c r="J39" s="9">
        <f>IF(I39="","",TODAY()-I39)</f>
        <v/>
      </c>
      <c r="K39" s="9">
        <f>IF(D39="","",IFERROR(VLOOKUP(D39,'Trigger Library'!$B$4:$E$14,4,FALSE),""))</f>
        <v/>
      </c>
      <c r="L39" s="9">
        <f>IF(OR(J39="",K39=""),"",IF(J39&lt;=K39,"Fresh","Expired"))</f>
        <v/>
      </c>
    </row>
    <row r="40">
      <c r="A40" s="7" t="n"/>
      <c r="B40" s="7" t="n"/>
      <c r="C40" s="7" t="n"/>
      <c r="D40" s="7" t="n"/>
      <c r="E40" s="9">
        <f>IF(D40="","",IFERROR(VLOOKUP(D40,'Trigger Library'!$B$4:$E$14,2,FALSE),""))</f>
        <v/>
      </c>
      <c r="F40" s="9">
        <f>IF(OR(D40="",H40="",I40=""),0,IFERROR(VLOOKUP(D40,'Trigger Library'!$B$4:$E$14,3,FALSE),0))</f>
        <v/>
      </c>
      <c r="G40" s="7" t="n"/>
      <c r="H40" s="7" t="n"/>
      <c r="I40" s="7" t="n"/>
      <c r="J40" s="9">
        <f>IF(I40="","",TODAY()-I40)</f>
        <v/>
      </c>
      <c r="K40" s="9">
        <f>IF(D40="","",IFERROR(VLOOKUP(D40,'Trigger Library'!$B$4:$E$14,4,FALSE),""))</f>
        <v/>
      </c>
      <c r="L40" s="9">
        <f>IF(OR(J40="",K40=""),"",IF(J40&lt;=K40,"Fresh","Expired"))</f>
        <v/>
      </c>
    </row>
    <row r="41">
      <c r="A41" s="7" t="n"/>
      <c r="B41" s="7" t="n"/>
      <c r="C41" s="7" t="n"/>
      <c r="D41" s="7" t="n"/>
      <c r="E41" s="9">
        <f>IF(D41="","",IFERROR(VLOOKUP(D41,'Trigger Library'!$B$4:$E$14,2,FALSE),""))</f>
        <v/>
      </c>
      <c r="F41" s="9">
        <f>IF(OR(D41="",H41="",I41=""),0,IFERROR(VLOOKUP(D41,'Trigger Library'!$B$4:$E$14,3,FALSE),0))</f>
        <v/>
      </c>
      <c r="G41" s="7" t="n"/>
      <c r="H41" s="7" t="n"/>
      <c r="I41" s="7" t="n"/>
      <c r="J41" s="9">
        <f>IF(I41="","",TODAY()-I41)</f>
        <v/>
      </c>
      <c r="K41" s="9">
        <f>IF(D41="","",IFERROR(VLOOKUP(D41,'Trigger Library'!$B$4:$E$14,4,FALSE),""))</f>
        <v/>
      </c>
      <c r="L41" s="9">
        <f>IF(OR(J41="",K41=""),"",IF(J41&lt;=K41,"Fresh","Expired"))</f>
        <v/>
      </c>
    </row>
    <row r="42">
      <c r="A42" s="7" t="n"/>
      <c r="B42" s="7" t="n"/>
      <c r="C42" s="7" t="n"/>
      <c r="D42" s="7" t="n"/>
      <c r="E42" s="9">
        <f>IF(D42="","",IFERROR(VLOOKUP(D42,'Trigger Library'!$B$4:$E$14,2,FALSE),""))</f>
        <v/>
      </c>
      <c r="F42" s="9">
        <f>IF(OR(D42="",H42="",I42=""),0,IFERROR(VLOOKUP(D42,'Trigger Library'!$B$4:$E$14,3,FALSE),0))</f>
        <v/>
      </c>
      <c r="G42" s="7" t="n"/>
      <c r="H42" s="7" t="n"/>
      <c r="I42" s="7" t="n"/>
      <c r="J42" s="9">
        <f>IF(I42="","",TODAY()-I42)</f>
        <v/>
      </c>
      <c r="K42" s="9">
        <f>IF(D42="","",IFERROR(VLOOKUP(D42,'Trigger Library'!$B$4:$E$14,4,FALSE),""))</f>
        <v/>
      </c>
      <c r="L42" s="9">
        <f>IF(OR(J42="",K42=""),"",IF(J42&lt;=K42,"Fresh","Expired"))</f>
        <v/>
      </c>
    </row>
    <row r="43">
      <c r="A43" s="7" t="n"/>
      <c r="B43" s="7" t="n"/>
      <c r="C43" s="7" t="n"/>
      <c r="D43" s="7" t="n"/>
      <c r="E43" s="9">
        <f>IF(D43="","",IFERROR(VLOOKUP(D43,'Trigger Library'!$B$4:$E$14,2,FALSE),""))</f>
        <v/>
      </c>
      <c r="F43" s="9">
        <f>IF(OR(D43="",H43="",I43=""),0,IFERROR(VLOOKUP(D43,'Trigger Library'!$B$4:$E$14,3,FALSE),0))</f>
        <v/>
      </c>
      <c r="G43" s="7" t="n"/>
      <c r="H43" s="7" t="n"/>
      <c r="I43" s="7" t="n"/>
      <c r="J43" s="9">
        <f>IF(I43="","",TODAY()-I43)</f>
        <v/>
      </c>
      <c r="K43" s="9">
        <f>IF(D43="","",IFERROR(VLOOKUP(D43,'Trigger Library'!$B$4:$E$14,4,FALSE),""))</f>
        <v/>
      </c>
      <c r="L43" s="9">
        <f>IF(OR(J43="",K43=""),"",IF(J43&lt;=K43,"Fresh","Expired"))</f>
        <v/>
      </c>
    </row>
    <row r="44">
      <c r="A44" s="7" t="n"/>
      <c r="B44" s="7" t="n"/>
      <c r="C44" s="7" t="n"/>
      <c r="D44" s="7" t="n"/>
      <c r="E44" s="9">
        <f>IF(D44="","",IFERROR(VLOOKUP(D44,'Trigger Library'!$B$4:$E$14,2,FALSE),""))</f>
        <v/>
      </c>
      <c r="F44" s="9">
        <f>IF(OR(D44="",H44="",I44=""),0,IFERROR(VLOOKUP(D44,'Trigger Library'!$B$4:$E$14,3,FALSE),0))</f>
        <v/>
      </c>
      <c r="G44" s="7" t="n"/>
      <c r="H44" s="7" t="n"/>
      <c r="I44" s="7" t="n"/>
      <c r="J44" s="9">
        <f>IF(I44="","",TODAY()-I44)</f>
        <v/>
      </c>
      <c r="K44" s="9">
        <f>IF(D44="","",IFERROR(VLOOKUP(D44,'Trigger Library'!$B$4:$E$14,4,FALSE),""))</f>
        <v/>
      </c>
      <c r="L44" s="9">
        <f>IF(OR(J44="",K44=""),"",IF(J44&lt;=K44,"Fresh","Expired"))</f>
        <v/>
      </c>
    </row>
    <row r="45">
      <c r="A45" s="7" t="n"/>
      <c r="B45" s="7" t="n"/>
      <c r="C45" s="7" t="n"/>
      <c r="D45" s="7" t="n"/>
      <c r="E45" s="9">
        <f>IF(D45="","",IFERROR(VLOOKUP(D45,'Trigger Library'!$B$4:$E$14,2,FALSE),""))</f>
        <v/>
      </c>
      <c r="F45" s="9">
        <f>IF(OR(D45="",H45="",I45=""),0,IFERROR(VLOOKUP(D45,'Trigger Library'!$B$4:$E$14,3,FALSE),0))</f>
        <v/>
      </c>
      <c r="G45" s="7" t="n"/>
      <c r="H45" s="7" t="n"/>
      <c r="I45" s="7" t="n"/>
      <c r="J45" s="9">
        <f>IF(I45="","",TODAY()-I45)</f>
        <v/>
      </c>
      <c r="K45" s="9">
        <f>IF(D45="","",IFERROR(VLOOKUP(D45,'Trigger Library'!$B$4:$E$14,4,FALSE),""))</f>
        <v/>
      </c>
      <c r="L45" s="9">
        <f>IF(OR(J45="",K45=""),"",IF(J45&lt;=K45,"Fresh","Expired"))</f>
        <v/>
      </c>
    </row>
    <row r="46">
      <c r="A46" s="7" t="n"/>
      <c r="B46" s="7" t="n"/>
      <c r="C46" s="7" t="n"/>
      <c r="D46" s="7" t="n"/>
      <c r="E46" s="9">
        <f>IF(D46="","",IFERROR(VLOOKUP(D46,'Trigger Library'!$B$4:$E$14,2,FALSE),""))</f>
        <v/>
      </c>
      <c r="F46" s="9">
        <f>IF(OR(D46="",H46="",I46=""),0,IFERROR(VLOOKUP(D46,'Trigger Library'!$B$4:$E$14,3,FALSE),0))</f>
        <v/>
      </c>
      <c r="G46" s="7" t="n"/>
      <c r="H46" s="7" t="n"/>
      <c r="I46" s="7" t="n"/>
      <c r="J46" s="9">
        <f>IF(I46="","",TODAY()-I46)</f>
        <v/>
      </c>
      <c r="K46" s="9">
        <f>IF(D46="","",IFERROR(VLOOKUP(D46,'Trigger Library'!$B$4:$E$14,4,FALSE),""))</f>
        <v/>
      </c>
      <c r="L46" s="9">
        <f>IF(OR(J46="",K46=""),"",IF(J46&lt;=K46,"Fresh","Expired"))</f>
        <v/>
      </c>
    </row>
    <row r="47">
      <c r="A47" s="7" t="n"/>
      <c r="B47" s="7" t="n"/>
      <c r="C47" s="7" t="n"/>
      <c r="D47" s="7" t="n"/>
      <c r="E47" s="9">
        <f>IF(D47="","",IFERROR(VLOOKUP(D47,'Trigger Library'!$B$4:$E$14,2,FALSE),""))</f>
        <v/>
      </c>
      <c r="F47" s="9">
        <f>IF(OR(D47="",H47="",I47=""),0,IFERROR(VLOOKUP(D47,'Trigger Library'!$B$4:$E$14,3,FALSE),0))</f>
        <v/>
      </c>
      <c r="G47" s="7" t="n"/>
      <c r="H47" s="7" t="n"/>
      <c r="I47" s="7" t="n"/>
      <c r="J47" s="9">
        <f>IF(I47="","",TODAY()-I47)</f>
        <v/>
      </c>
      <c r="K47" s="9">
        <f>IF(D47="","",IFERROR(VLOOKUP(D47,'Trigger Library'!$B$4:$E$14,4,FALSE),""))</f>
        <v/>
      </c>
      <c r="L47" s="9">
        <f>IF(OR(J47="",K47=""),"",IF(J47&lt;=K47,"Fresh","Expired"))</f>
        <v/>
      </c>
    </row>
    <row r="48">
      <c r="A48" s="7" t="n"/>
      <c r="B48" s="7" t="n"/>
      <c r="C48" s="7" t="n"/>
      <c r="D48" s="7" t="n"/>
      <c r="E48" s="9">
        <f>IF(D48="","",IFERROR(VLOOKUP(D48,'Trigger Library'!$B$4:$E$14,2,FALSE),""))</f>
        <v/>
      </c>
      <c r="F48" s="9">
        <f>IF(OR(D48="",H48="",I48=""),0,IFERROR(VLOOKUP(D48,'Trigger Library'!$B$4:$E$14,3,FALSE),0))</f>
        <v/>
      </c>
      <c r="G48" s="7" t="n"/>
      <c r="H48" s="7" t="n"/>
      <c r="I48" s="7" t="n"/>
      <c r="J48" s="9">
        <f>IF(I48="","",TODAY()-I48)</f>
        <v/>
      </c>
      <c r="K48" s="9">
        <f>IF(D48="","",IFERROR(VLOOKUP(D48,'Trigger Library'!$B$4:$E$14,4,FALSE),""))</f>
        <v/>
      </c>
      <c r="L48" s="9">
        <f>IF(OR(J48="",K48=""),"",IF(J48&lt;=K48,"Fresh","Expired"))</f>
        <v/>
      </c>
    </row>
    <row r="49">
      <c r="A49" s="7" t="n"/>
      <c r="B49" s="7" t="n"/>
      <c r="C49" s="7" t="n"/>
      <c r="D49" s="7" t="n"/>
      <c r="E49" s="9">
        <f>IF(D49="","",IFERROR(VLOOKUP(D49,'Trigger Library'!$B$4:$E$14,2,FALSE),""))</f>
        <v/>
      </c>
      <c r="F49" s="9">
        <f>IF(OR(D49="",H49="",I49=""),0,IFERROR(VLOOKUP(D49,'Trigger Library'!$B$4:$E$14,3,FALSE),0))</f>
        <v/>
      </c>
      <c r="G49" s="7" t="n"/>
      <c r="H49" s="7" t="n"/>
      <c r="I49" s="7" t="n"/>
      <c r="J49" s="9">
        <f>IF(I49="","",TODAY()-I49)</f>
        <v/>
      </c>
      <c r="K49" s="9">
        <f>IF(D49="","",IFERROR(VLOOKUP(D49,'Trigger Library'!$B$4:$E$14,4,FALSE),""))</f>
        <v/>
      </c>
      <c r="L49" s="9">
        <f>IF(OR(J49="",K49=""),"",IF(J49&lt;=K49,"Fresh","Expired"))</f>
        <v/>
      </c>
    </row>
    <row r="50">
      <c r="A50" s="7" t="n"/>
      <c r="B50" s="7" t="n"/>
      <c r="C50" s="7" t="n"/>
      <c r="D50" s="7" t="n"/>
      <c r="E50" s="9">
        <f>IF(D50="","",IFERROR(VLOOKUP(D50,'Trigger Library'!$B$4:$E$14,2,FALSE),""))</f>
        <v/>
      </c>
      <c r="F50" s="9">
        <f>IF(OR(D50="",H50="",I50=""),0,IFERROR(VLOOKUP(D50,'Trigger Library'!$B$4:$E$14,3,FALSE),0))</f>
        <v/>
      </c>
      <c r="G50" s="7" t="n"/>
      <c r="H50" s="7" t="n"/>
      <c r="I50" s="7" t="n"/>
      <c r="J50" s="9">
        <f>IF(I50="","",TODAY()-I50)</f>
        <v/>
      </c>
      <c r="K50" s="9">
        <f>IF(D50="","",IFERROR(VLOOKUP(D50,'Trigger Library'!$B$4:$E$14,4,FALSE),""))</f>
        <v/>
      </c>
      <c r="L50" s="9">
        <f>IF(OR(J50="",K50=""),"",IF(J50&lt;=K50,"Fresh","Expired"))</f>
        <v/>
      </c>
    </row>
    <row r="51">
      <c r="A51" s="7" t="n"/>
      <c r="B51" s="7" t="n"/>
      <c r="C51" s="7" t="n"/>
      <c r="D51" s="7" t="n"/>
      <c r="E51" s="9">
        <f>IF(D51="","",IFERROR(VLOOKUP(D51,'Trigger Library'!$B$4:$E$14,2,FALSE),""))</f>
        <v/>
      </c>
      <c r="F51" s="9">
        <f>IF(OR(D51="",H51="",I51=""),0,IFERROR(VLOOKUP(D51,'Trigger Library'!$B$4:$E$14,3,FALSE),0))</f>
        <v/>
      </c>
      <c r="G51" s="7" t="n"/>
      <c r="H51" s="7" t="n"/>
      <c r="I51" s="7" t="n"/>
      <c r="J51" s="9">
        <f>IF(I51="","",TODAY()-I51)</f>
        <v/>
      </c>
      <c r="K51" s="9">
        <f>IF(D51="","",IFERROR(VLOOKUP(D51,'Trigger Library'!$B$4:$E$14,4,FALSE),""))</f>
        <v/>
      </c>
      <c r="L51" s="9">
        <f>IF(OR(J51="",K51=""),"",IF(J51&lt;=K51,"Fresh","Expired"))</f>
        <v/>
      </c>
    </row>
    <row r="52">
      <c r="A52" s="7" t="n"/>
      <c r="B52" s="7" t="n"/>
      <c r="C52" s="7" t="n"/>
      <c r="D52" s="7" t="n"/>
      <c r="E52" s="9">
        <f>IF(D52="","",IFERROR(VLOOKUP(D52,'Trigger Library'!$B$4:$E$14,2,FALSE),""))</f>
        <v/>
      </c>
      <c r="F52" s="9">
        <f>IF(OR(D52="",H52="",I52=""),0,IFERROR(VLOOKUP(D52,'Trigger Library'!$B$4:$E$14,3,FALSE),0))</f>
        <v/>
      </c>
      <c r="G52" s="7" t="n"/>
      <c r="H52" s="7" t="n"/>
      <c r="I52" s="7" t="n"/>
      <c r="J52" s="9">
        <f>IF(I52="","",TODAY()-I52)</f>
        <v/>
      </c>
      <c r="K52" s="9">
        <f>IF(D52="","",IFERROR(VLOOKUP(D52,'Trigger Library'!$B$4:$E$14,4,FALSE),""))</f>
        <v/>
      </c>
      <c r="L52" s="9">
        <f>IF(OR(J52="",K52=""),"",IF(J52&lt;=K52,"Fresh","Expired"))</f>
        <v/>
      </c>
    </row>
    <row r="53">
      <c r="A53" s="7" t="n"/>
      <c r="B53" s="7" t="n"/>
      <c r="C53" s="7" t="n"/>
      <c r="D53" s="7" t="n"/>
      <c r="E53" s="9">
        <f>IF(D53="","",IFERROR(VLOOKUP(D53,'Trigger Library'!$B$4:$E$14,2,FALSE),""))</f>
        <v/>
      </c>
      <c r="F53" s="9">
        <f>IF(OR(D53="",H53="",I53=""),0,IFERROR(VLOOKUP(D53,'Trigger Library'!$B$4:$E$14,3,FALSE),0))</f>
        <v/>
      </c>
      <c r="G53" s="7" t="n"/>
      <c r="H53" s="7" t="n"/>
      <c r="I53" s="7" t="n"/>
      <c r="J53" s="9">
        <f>IF(I53="","",TODAY()-I53)</f>
        <v/>
      </c>
      <c r="K53" s="9">
        <f>IF(D53="","",IFERROR(VLOOKUP(D53,'Trigger Library'!$B$4:$E$14,4,FALSE),""))</f>
        <v/>
      </c>
      <c r="L53" s="9">
        <f>IF(OR(J53="",K53=""),"",IF(J53&lt;=K53,"Fresh","Expired"))</f>
        <v/>
      </c>
    </row>
    <row r="54">
      <c r="A54" s="7" t="n"/>
      <c r="B54" s="7" t="n"/>
      <c r="C54" s="7" t="n"/>
      <c r="D54" s="7" t="n"/>
      <c r="E54" s="9">
        <f>IF(D54="","",IFERROR(VLOOKUP(D54,'Trigger Library'!$B$4:$E$14,2,FALSE),""))</f>
        <v/>
      </c>
      <c r="F54" s="9">
        <f>IF(OR(D54="",H54="",I54=""),0,IFERROR(VLOOKUP(D54,'Trigger Library'!$B$4:$E$14,3,FALSE),0))</f>
        <v/>
      </c>
      <c r="G54" s="7" t="n"/>
      <c r="H54" s="7" t="n"/>
      <c r="I54" s="7" t="n"/>
      <c r="J54" s="9">
        <f>IF(I54="","",TODAY()-I54)</f>
        <v/>
      </c>
      <c r="K54" s="9">
        <f>IF(D54="","",IFERROR(VLOOKUP(D54,'Trigger Library'!$B$4:$E$14,4,FALSE),""))</f>
        <v/>
      </c>
      <c r="L54" s="9">
        <f>IF(OR(J54="",K54=""),"",IF(J54&lt;=K54,"Fresh","Expired"))</f>
        <v/>
      </c>
    </row>
    <row r="55">
      <c r="A55" s="7" t="n"/>
      <c r="B55" s="7" t="n"/>
      <c r="C55" s="7" t="n"/>
      <c r="D55" s="7" t="n"/>
      <c r="E55" s="9">
        <f>IF(D55="","",IFERROR(VLOOKUP(D55,'Trigger Library'!$B$4:$E$14,2,FALSE),""))</f>
        <v/>
      </c>
      <c r="F55" s="9">
        <f>IF(OR(D55="",H55="",I55=""),0,IFERROR(VLOOKUP(D55,'Trigger Library'!$B$4:$E$14,3,FALSE),0))</f>
        <v/>
      </c>
      <c r="G55" s="7" t="n"/>
      <c r="H55" s="7" t="n"/>
      <c r="I55" s="7" t="n"/>
      <c r="J55" s="9">
        <f>IF(I55="","",TODAY()-I55)</f>
        <v/>
      </c>
      <c r="K55" s="9">
        <f>IF(D55="","",IFERROR(VLOOKUP(D55,'Trigger Library'!$B$4:$E$14,4,FALSE),""))</f>
        <v/>
      </c>
      <c r="L55" s="9">
        <f>IF(OR(J55="",K55=""),"",IF(J55&lt;=K55,"Fresh","Expired"))</f>
        <v/>
      </c>
    </row>
    <row r="56">
      <c r="A56" s="7" t="n"/>
      <c r="B56" s="7" t="n"/>
      <c r="C56" s="7" t="n"/>
      <c r="D56" s="7" t="n"/>
      <c r="E56" s="9">
        <f>IF(D56="","",IFERROR(VLOOKUP(D56,'Trigger Library'!$B$4:$E$14,2,FALSE),""))</f>
        <v/>
      </c>
      <c r="F56" s="9">
        <f>IF(OR(D56="",H56="",I56=""),0,IFERROR(VLOOKUP(D56,'Trigger Library'!$B$4:$E$14,3,FALSE),0))</f>
        <v/>
      </c>
      <c r="G56" s="7" t="n"/>
      <c r="H56" s="7" t="n"/>
      <c r="I56" s="7" t="n"/>
      <c r="J56" s="9">
        <f>IF(I56="","",TODAY()-I56)</f>
        <v/>
      </c>
      <c r="K56" s="9">
        <f>IF(D56="","",IFERROR(VLOOKUP(D56,'Trigger Library'!$B$4:$E$14,4,FALSE),""))</f>
        <v/>
      </c>
      <c r="L56" s="9">
        <f>IF(OR(J56="",K56=""),"",IF(J56&lt;=K56,"Fresh","Expired"))</f>
        <v/>
      </c>
    </row>
    <row r="57">
      <c r="A57" s="7" t="n"/>
      <c r="B57" s="7" t="n"/>
      <c r="C57" s="7" t="n"/>
      <c r="D57" s="7" t="n"/>
      <c r="E57" s="9">
        <f>IF(D57="","",IFERROR(VLOOKUP(D57,'Trigger Library'!$B$4:$E$14,2,FALSE),""))</f>
        <v/>
      </c>
      <c r="F57" s="9">
        <f>IF(OR(D57="",H57="",I57=""),0,IFERROR(VLOOKUP(D57,'Trigger Library'!$B$4:$E$14,3,FALSE),0))</f>
        <v/>
      </c>
      <c r="G57" s="7" t="n"/>
      <c r="H57" s="7" t="n"/>
      <c r="I57" s="7" t="n"/>
      <c r="J57" s="9">
        <f>IF(I57="","",TODAY()-I57)</f>
        <v/>
      </c>
      <c r="K57" s="9">
        <f>IF(D57="","",IFERROR(VLOOKUP(D57,'Trigger Library'!$B$4:$E$14,4,FALSE),""))</f>
        <v/>
      </c>
      <c r="L57" s="9">
        <f>IF(OR(J57="",K57=""),"",IF(J57&lt;=K57,"Fresh","Expired"))</f>
        <v/>
      </c>
    </row>
    <row r="58">
      <c r="A58" s="7" t="n"/>
      <c r="B58" s="7" t="n"/>
      <c r="C58" s="7" t="n"/>
      <c r="D58" s="7" t="n"/>
      <c r="E58" s="9">
        <f>IF(D58="","",IFERROR(VLOOKUP(D58,'Trigger Library'!$B$4:$E$14,2,FALSE),""))</f>
        <v/>
      </c>
      <c r="F58" s="9">
        <f>IF(OR(D58="",H58="",I58=""),0,IFERROR(VLOOKUP(D58,'Trigger Library'!$B$4:$E$14,3,FALSE),0))</f>
        <v/>
      </c>
      <c r="G58" s="7" t="n"/>
      <c r="H58" s="7" t="n"/>
      <c r="I58" s="7" t="n"/>
      <c r="J58" s="9">
        <f>IF(I58="","",TODAY()-I58)</f>
        <v/>
      </c>
      <c r="K58" s="9">
        <f>IF(D58="","",IFERROR(VLOOKUP(D58,'Trigger Library'!$B$4:$E$14,4,FALSE),""))</f>
        <v/>
      </c>
      <c r="L58" s="9">
        <f>IF(OR(J58="",K58=""),"",IF(J58&lt;=K58,"Fresh","Expired"))</f>
        <v/>
      </c>
    </row>
    <row r="59">
      <c r="A59" s="7" t="n"/>
      <c r="B59" s="7" t="n"/>
      <c r="C59" s="7" t="n"/>
      <c r="D59" s="7" t="n"/>
      <c r="E59" s="9">
        <f>IF(D59="","",IFERROR(VLOOKUP(D59,'Trigger Library'!$B$4:$E$14,2,FALSE),""))</f>
        <v/>
      </c>
      <c r="F59" s="9">
        <f>IF(OR(D59="",H59="",I59=""),0,IFERROR(VLOOKUP(D59,'Trigger Library'!$B$4:$E$14,3,FALSE),0))</f>
        <v/>
      </c>
      <c r="G59" s="7" t="n"/>
      <c r="H59" s="7" t="n"/>
      <c r="I59" s="7" t="n"/>
      <c r="J59" s="9">
        <f>IF(I59="","",TODAY()-I59)</f>
        <v/>
      </c>
      <c r="K59" s="9">
        <f>IF(D59="","",IFERROR(VLOOKUP(D59,'Trigger Library'!$B$4:$E$14,4,FALSE),""))</f>
        <v/>
      </c>
      <c r="L59" s="9">
        <f>IF(OR(J59="",K59=""),"",IF(J59&lt;=K59,"Fresh","Expired"))</f>
        <v/>
      </c>
    </row>
    <row r="60">
      <c r="A60" s="7" t="n"/>
      <c r="B60" s="7" t="n"/>
      <c r="C60" s="7" t="n"/>
      <c r="D60" s="7" t="n"/>
      <c r="E60" s="9">
        <f>IF(D60="","",IFERROR(VLOOKUP(D60,'Trigger Library'!$B$4:$E$14,2,FALSE),""))</f>
        <v/>
      </c>
      <c r="F60" s="9">
        <f>IF(OR(D60="",H60="",I60=""),0,IFERROR(VLOOKUP(D60,'Trigger Library'!$B$4:$E$14,3,FALSE),0))</f>
        <v/>
      </c>
      <c r="G60" s="7" t="n"/>
      <c r="H60" s="7" t="n"/>
      <c r="I60" s="7" t="n"/>
      <c r="J60" s="9">
        <f>IF(I60="","",TODAY()-I60)</f>
        <v/>
      </c>
      <c r="K60" s="9">
        <f>IF(D60="","",IFERROR(VLOOKUP(D60,'Trigger Library'!$B$4:$E$14,4,FALSE),""))</f>
        <v/>
      </c>
      <c r="L60" s="9">
        <f>IF(OR(J60="",K60=""),"",IF(J60&lt;=K60,"Fresh","Expired"))</f>
        <v/>
      </c>
    </row>
    <row r="61">
      <c r="A61" s="7" t="n"/>
      <c r="B61" s="7" t="n"/>
      <c r="C61" s="7" t="n"/>
      <c r="D61" s="7" t="n"/>
      <c r="E61" s="9">
        <f>IF(D61="","",IFERROR(VLOOKUP(D61,'Trigger Library'!$B$4:$E$14,2,FALSE),""))</f>
        <v/>
      </c>
      <c r="F61" s="9">
        <f>IF(OR(D61="",H61="",I61=""),0,IFERROR(VLOOKUP(D61,'Trigger Library'!$B$4:$E$14,3,FALSE),0))</f>
        <v/>
      </c>
      <c r="G61" s="7" t="n"/>
      <c r="H61" s="7" t="n"/>
      <c r="I61" s="7" t="n"/>
      <c r="J61" s="9">
        <f>IF(I61="","",TODAY()-I61)</f>
        <v/>
      </c>
      <c r="K61" s="9">
        <f>IF(D61="","",IFERROR(VLOOKUP(D61,'Trigger Library'!$B$4:$E$14,4,FALSE),""))</f>
        <v/>
      </c>
      <c r="L61" s="9">
        <f>IF(OR(J61="",K61=""),"",IF(J61&lt;=K61,"Fresh","Expired"))</f>
        <v/>
      </c>
    </row>
    <row r="62">
      <c r="A62" s="7" t="n"/>
      <c r="B62" s="7" t="n"/>
      <c r="C62" s="7" t="n"/>
      <c r="D62" s="7" t="n"/>
      <c r="E62" s="9">
        <f>IF(D62="","",IFERROR(VLOOKUP(D62,'Trigger Library'!$B$4:$E$14,2,FALSE),""))</f>
        <v/>
      </c>
      <c r="F62" s="9">
        <f>IF(OR(D62="",H62="",I62=""),0,IFERROR(VLOOKUP(D62,'Trigger Library'!$B$4:$E$14,3,FALSE),0))</f>
        <v/>
      </c>
      <c r="G62" s="7" t="n"/>
      <c r="H62" s="7" t="n"/>
      <c r="I62" s="7" t="n"/>
      <c r="J62" s="9">
        <f>IF(I62="","",TODAY()-I62)</f>
        <v/>
      </c>
      <c r="K62" s="9">
        <f>IF(D62="","",IFERROR(VLOOKUP(D62,'Trigger Library'!$B$4:$E$14,4,FALSE),""))</f>
        <v/>
      </c>
      <c r="L62" s="9">
        <f>IF(OR(J62="",K62=""),"",IF(J62&lt;=K62,"Fresh","Expired"))</f>
        <v/>
      </c>
    </row>
    <row r="63">
      <c r="A63" s="7" t="n"/>
      <c r="B63" s="7" t="n"/>
      <c r="C63" s="7" t="n"/>
      <c r="D63" s="7" t="n"/>
      <c r="E63" s="9">
        <f>IF(D63="","",IFERROR(VLOOKUP(D63,'Trigger Library'!$B$4:$E$14,2,FALSE),""))</f>
        <v/>
      </c>
      <c r="F63" s="9">
        <f>IF(OR(D63="",H63="",I63=""),0,IFERROR(VLOOKUP(D63,'Trigger Library'!$B$4:$E$14,3,FALSE),0))</f>
        <v/>
      </c>
      <c r="G63" s="7" t="n"/>
      <c r="H63" s="7" t="n"/>
      <c r="I63" s="7" t="n"/>
      <c r="J63" s="9">
        <f>IF(I63="","",TODAY()-I63)</f>
        <v/>
      </c>
      <c r="K63" s="9">
        <f>IF(D63="","",IFERROR(VLOOKUP(D63,'Trigger Library'!$B$4:$E$14,4,FALSE),""))</f>
        <v/>
      </c>
      <c r="L63" s="9">
        <f>IF(OR(J63="",K63=""),"",IF(J63&lt;=K63,"Fresh","Expired"))</f>
        <v/>
      </c>
    </row>
    <row r="64">
      <c r="A64" s="7" t="n"/>
      <c r="B64" s="7" t="n"/>
      <c r="C64" s="7" t="n"/>
      <c r="D64" s="7" t="n"/>
      <c r="E64" s="9">
        <f>IF(D64="","",IFERROR(VLOOKUP(D64,'Trigger Library'!$B$4:$E$14,2,FALSE),""))</f>
        <v/>
      </c>
      <c r="F64" s="9">
        <f>IF(OR(D64="",H64="",I64=""),0,IFERROR(VLOOKUP(D64,'Trigger Library'!$B$4:$E$14,3,FALSE),0))</f>
        <v/>
      </c>
      <c r="G64" s="7" t="n"/>
      <c r="H64" s="7" t="n"/>
      <c r="I64" s="7" t="n"/>
      <c r="J64" s="9">
        <f>IF(I64="","",TODAY()-I64)</f>
        <v/>
      </c>
      <c r="K64" s="9">
        <f>IF(D64="","",IFERROR(VLOOKUP(D64,'Trigger Library'!$B$4:$E$14,4,FALSE),""))</f>
        <v/>
      </c>
      <c r="L64" s="9">
        <f>IF(OR(J64="",K64=""),"",IF(J64&lt;=K64,"Fresh","Expired"))</f>
        <v/>
      </c>
    </row>
    <row r="65">
      <c r="A65" s="7" t="n"/>
      <c r="B65" s="7" t="n"/>
      <c r="C65" s="7" t="n"/>
      <c r="D65" s="7" t="n"/>
      <c r="E65" s="9">
        <f>IF(D65="","",IFERROR(VLOOKUP(D65,'Trigger Library'!$B$4:$E$14,2,FALSE),""))</f>
        <v/>
      </c>
      <c r="F65" s="9">
        <f>IF(OR(D65="",H65="",I65=""),0,IFERROR(VLOOKUP(D65,'Trigger Library'!$B$4:$E$14,3,FALSE),0))</f>
        <v/>
      </c>
      <c r="G65" s="7" t="n"/>
      <c r="H65" s="7" t="n"/>
      <c r="I65" s="7" t="n"/>
      <c r="J65" s="9">
        <f>IF(I65="","",TODAY()-I65)</f>
        <v/>
      </c>
      <c r="K65" s="9">
        <f>IF(D65="","",IFERROR(VLOOKUP(D65,'Trigger Library'!$B$4:$E$14,4,FALSE),""))</f>
        <v/>
      </c>
      <c r="L65" s="9">
        <f>IF(OR(J65="",K65=""),"",IF(J65&lt;=K65,"Fresh","Expired"))</f>
        <v/>
      </c>
    </row>
    <row r="66">
      <c r="A66" s="7" t="n"/>
      <c r="B66" s="7" t="n"/>
      <c r="C66" s="7" t="n"/>
      <c r="D66" s="7" t="n"/>
      <c r="E66" s="9">
        <f>IF(D66="","",IFERROR(VLOOKUP(D66,'Trigger Library'!$B$4:$E$14,2,FALSE),""))</f>
        <v/>
      </c>
      <c r="F66" s="9">
        <f>IF(OR(D66="",H66="",I66=""),0,IFERROR(VLOOKUP(D66,'Trigger Library'!$B$4:$E$14,3,FALSE),0))</f>
        <v/>
      </c>
      <c r="G66" s="7" t="n"/>
      <c r="H66" s="7" t="n"/>
      <c r="I66" s="7" t="n"/>
      <c r="J66" s="9">
        <f>IF(I66="","",TODAY()-I66)</f>
        <v/>
      </c>
      <c r="K66" s="9">
        <f>IF(D66="","",IFERROR(VLOOKUP(D66,'Trigger Library'!$B$4:$E$14,4,FALSE),""))</f>
        <v/>
      </c>
      <c r="L66" s="9">
        <f>IF(OR(J66="",K66=""),"",IF(J66&lt;=K66,"Fresh","Expired"))</f>
        <v/>
      </c>
    </row>
    <row r="67">
      <c r="A67" s="7" t="n"/>
      <c r="B67" s="7" t="n"/>
      <c r="C67" s="7" t="n"/>
      <c r="D67" s="7" t="n"/>
      <c r="E67" s="9">
        <f>IF(D67="","",IFERROR(VLOOKUP(D67,'Trigger Library'!$B$4:$E$14,2,FALSE),""))</f>
        <v/>
      </c>
      <c r="F67" s="9">
        <f>IF(OR(D67="",H67="",I67=""),0,IFERROR(VLOOKUP(D67,'Trigger Library'!$B$4:$E$14,3,FALSE),0))</f>
        <v/>
      </c>
      <c r="G67" s="7" t="n"/>
      <c r="H67" s="7" t="n"/>
      <c r="I67" s="7" t="n"/>
      <c r="J67" s="9">
        <f>IF(I67="","",TODAY()-I67)</f>
        <v/>
      </c>
      <c r="K67" s="9">
        <f>IF(D67="","",IFERROR(VLOOKUP(D67,'Trigger Library'!$B$4:$E$14,4,FALSE),""))</f>
        <v/>
      </c>
      <c r="L67" s="9">
        <f>IF(OR(J67="",K67=""),"",IF(J67&lt;=K67,"Fresh","Expired"))</f>
        <v/>
      </c>
    </row>
    <row r="68">
      <c r="A68" s="7" t="n"/>
      <c r="B68" s="7" t="n"/>
      <c r="C68" s="7" t="n"/>
      <c r="D68" s="7" t="n"/>
      <c r="E68" s="9">
        <f>IF(D68="","",IFERROR(VLOOKUP(D68,'Trigger Library'!$B$4:$E$14,2,FALSE),""))</f>
        <v/>
      </c>
      <c r="F68" s="9">
        <f>IF(OR(D68="",H68="",I68=""),0,IFERROR(VLOOKUP(D68,'Trigger Library'!$B$4:$E$14,3,FALSE),0))</f>
        <v/>
      </c>
      <c r="G68" s="7" t="n"/>
      <c r="H68" s="7" t="n"/>
      <c r="I68" s="7" t="n"/>
      <c r="J68" s="9">
        <f>IF(I68="","",TODAY()-I68)</f>
        <v/>
      </c>
      <c r="K68" s="9">
        <f>IF(D68="","",IFERROR(VLOOKUP(D68,'Trigger Library'!$B$4:$E$14,4,FALSE),""))</f>
        <v/>
      </c>
      <c r="L68" s="9">
        <f>IF(OR(J68="",K68=""),"",IF(J68&lt;=K68,"Fresh","Expired"))</f>
        <v/>
      </c>
    </row>
    <row r="69">
      <c r="A69" s="7" t="n"/>
      <c r="B69" s="7" t="n"/>
      <c r="C69" s="7" t="n"/>
      <c r="D69" s="7" t="n"/>
      <c r="E69" s="9">
        <f>IF(D69="","",IFERROR(VLOOKUP(D69,'Trigger Library'!$B$4:$E$14,2,FALSE),""))</f>
        <v/>
      </c>
      <c r="F69" s="9">
        <f>IF(OR(D69="",H69="",I69=""),0,IFERROR(VLOOKUP(D69,'Trigger Library'!$B$4:$E$14,3,FALSE),0))</f>
        <v/>
      </c>
      <c r="G69" s="7" t="n"/>
      <c r="H69" s="7" t="n"/>
      <c r="I69" s="7" t="n"/>
      <c r="J69" s="9">
        <f>IF(I69="","",TODAY()-I69)</f>
        <v/>
      </c>
      <c r="K69" s="9">
        <f>IF(D69="","",IFERROR(VLOOKUP(D69,'Trigger Library'!$B$4:$E$14,4,FALSE),""))</f>
        <v/>
      </c>
      <c r="L69" s="9">
        <f>IF(OR(J69="",K69=""),"",IF(J69&lt;=K69,"Fresh","Expired"))</f>
        <v/>
      </c>
    </row>
    <row r="70">
      <c r="A70" s="7" t="n"/>
      <c r="B70" s="7" t="n"/>
      <c r="C70" s="7" t="n"/>
      <c r="D70" s="7" t="n"/>
      <c r="E70" s="9">
        <f>IF(D70="","",IFERROR(VLOOKUP(D70,'Trigger Library'!$B$4:$E$14,2,FALSE),""))</f>
        <v/>
      </c>
      <c r="F70" s="9">
        <f>IF(OR(D70="",H70="",I70=""),0,IFERROR(VLOOKUP(D70,'Trigger Library'!$B$4:$E$14,3,FALSE),0))</f>
        <v/>
      </c>
      <c r="G70" s="7" t="n"/>
      <c r="H70" s="7" t="n"/>
      <c r="I70" s="7" t="n"/>
      <c r="J70" s="9">
        <f>IF(I70="","",TODAY()-I70)</f>
        <v/>
      </c>
      <c r="K70" s="9">
        <f>IF(D70="","",IFERROR(VLOOKUP(D70,'Trigger Library'!$B$4:$E$14,4,FALSE),""))</f>
        <v/>
      </c>
      <c r="L70" s="9">
        <f>IF(OR(J70="",K70=""),"",IF(J70&lt;=K70,"Fresh","Expired"))</f>
        <v/>
      </c>
    </row>
    <row r="71">
      <c r="A71" s="7" t="n"/>
      <c r="B71" s="7" t="n"/>
      <c r="C71" s="7" t="n"/>
      <c r="D71" s="7" t="n"/>
      <c r="E71" s="9">
        <f>IF(D71="","",IFERROR(VLOOKUP(D71,'Trigger Library'!$B$4:$E$14,2,FALSE),""))</f>
        <v/>
      </c>
      <c r="F71" s="9">
        <f>IF(OR(D71="",H71="",I71=""),0,IFERROR(VLOOKUP(D71,'Trigger Library'!$B$4:$E$14,3,FALSE),0))</f>
        <v/>
      </c>
      <c r="G71" s="7" t="n"/>
      <c r="H71" s="7" t="n"/>
      <c r="I71" s="7" t="n"/>
      <c r="J71" s="9">
        <f>IF(I71="","",TODAY()-I71)</f>
        <v/>
      </c>
      <c r="K71" s="9">
        <f>IF(D71="","",IFERROR(VLOOKUP(D71,'Trigger Library'!$B$4:$E$14,4,FALSE),""))</f>
        <v/>
      </c>
      <c r="L71" s="9">
        <f>IF(OR(J71="",K71=""),"",IF(J71&lt;=K71,"Fresh","Expired"))</f>
        <v/>
      </c>
    </row>
    <row r="72">
      <c r="A72" s="7" t="n"/>
      <c r="B72" s="7" t="n"/>
      <c r="C72" s="7" t="n"/>
      <c r="D72" s="7" t="n"/>
      <c r="E72" s="9">
        <f>IF(D72="","",IFERROR(VLOOKUP(D72,'Trigger Library'!$B$4:$E$14,2,FALSE),""))</f>
        <v/>
      </c>
      <c r="F72" s="9">
        <f>IF(OR(D72="",H72="",I72=""),0,IFERROR(VLOOKUP(D72,'Trigger Library'!$B$4:$E$14,3,FALSE),0))</f>
        <v/>
      </c>
      <c r="G72" s="7" t="n"/>
      <c r="H72" s="7" t="n"/>
      <c r="I72" s="7" t="n"/>
      <c r="J72" s="9">
        <f>IF(I72="","",TODAY()-I72)</f>
        <v/>
      </c>
      <c r="K72" s="9">
        <f>IF(D72="","",IFERROR(VLOOKUP(D72,'Trigger Library'!$B$4:$E$14,4,FALSE),""))</f>
        <v/>
      </c>
      <c r="L72" s="9">
        <f>IF(OR(J72="",K72=""),"",IF(J72&lt;=K72,"Fresh","Expired"))</f>
        <v/>
      </c>
    </row>
    <row r="73">
      <c r="A73" s="7" t="n"/>
      <c r="B73" s="7" t="n"/>
      <c r="C73" s="7" t="n"/>
      <c r="D73" s="7" t="n"/>
      <c r="E73" s="9">
        <f>IF(D73="","",IFERROR(VLOOKUP(D73,'Trigger Library'!$B$4:$E$14,2,FALSE),""))</f>
        <v/>
      </c>
      <c r="F73" s="9">
        <f>IF(OR(D73="",H73="",I73=""),0,IFERROR(VLOOKUP(D73,'Trigger Library'!$B$4:$E$14,3,FALSE),0))</f>
        <v/>
      </c>
      <c r="G73" s="7" t="n"/>
      <c r="H73" s="7" t="n"/>
      <c r="I73" s="7" t="n"/>
      <c r="J73" s="9">
        <f>IF(I73="","",TODAY()-I73)</f>
        <v/>
      </c>
      <c r="K73" s="9">
        <f>IF(D73="","",IFERROR(VLOOKUP(D73,'Trigger Library'!$B$4:$E$14,4,FALSE),""))</f>
        <v/>
      </c>
      <c r="L73" s="9">
        <f>IF(OR(J73="",K73=""),"",IF(J73&lt;=K73,"Fresh","Expired"))</f>
        <v/>
      </c>
    </row>
    <row r="74">
      <c r="A74" s="7" t="n"/>
      <c r="B74" s="7" t="n"/>
      <c r="C74" s="7" t="n"/>
      <c r="D74" s="7" t="n"/>
      <c r="E74" s="9">
        <f>IF(D74="","",IFERROR(VLOOKUP(D74,'Trigger Library'!$B$4:$E$14,2,FALSE),""))</f>
        <v/>
      </c>
      <c r="F74" s="9">
        <f>IF(OR(D74="",H74="",I74=""),0,IFERROR(VLOOKUP(D74,'Trigger Library'!$B$4:$E$14,3,FALSE),0))</f>
        <v/>
      </c>
      <c r="G74" s="7" t="n"/>
      <c r="H74" s="7" t="n"/>
      <c r="I74" s="7" t="n"/>
      <c r="J74" s="9">
        <f>IF(I74="","",TODAY()-I74)</f>
        <v/>
      </c>
      <c r="K74" s="9">
        <f>IF(D74="","",IFERROR(VLOOKUP(D74,'Trigger Library'!$B$4:$E$14,4,FALSE),""))</f>
        <v/>
      </c>
      <c r="L74" s="9">
        <f>IF(OR(J74="",K74=""),"",IF(J74&lt;=K74,"Fresh","Expired"))</f>
        <v/>
      </c>
    </row>
    <row r="75">
      <c r="A75" s="7" t="n"/>
      <c r="B75" s="7" t="n"/>
      <c r="C75" s="7" t="n"/>
      <c r="D75" s="7" t="n"/>
      <c r="E75" s="9">
        <f>IF(D75="","",IFERROR(VLOOKUP(D75,'Trigger Library'!$B$4:$E$14,2,FALSE),""))</f>
        <v/>
      </c>
      <c r="F75" s="9">
        <f>IF(OR(D75="",H75="",I75=""),0,IFERROR(VLOOKUP(D75,'Trigger Library'!$B$4:$E$14,3,FALSE),0))</f>
        <v/>
      </c>
      <c r="G75" s="7" t="n"/>
      <c r="H75" s="7" t="n"/>
      <c r="I75" s="7" t="n"/>
      <c r="J75" s="9">
        <f>IF(I75="","",TODAY()-I75)</f>
        <v/>
      </c>
      <c r="K75" s="9">
        <f>IF(D75="","",IFERROR(VLOOKUP(D75,'Trigger Library'!$B$4:$E$14,4,FALSE),""))</f>
        <v/>
      </c>
      <c r="L75" s="9">
        <f>IF(OR(J75="",K75=""),"",IF(J75&lt;=K75,"Fresh","Expired"))</f>
        <v/>
      </c>
    </row>
    <row r="76">
      <c r="A76" s="7" t="n"/>
      <c r="B76" s="7" t="n"/>
      <c r="C76" s="7" t="n"/>
      <c r="D76" s="7" t="n"/>
      <c r="E76" s="9">
        <f>IF(D76="","",IFERROR(VLOOKUP(D76,'Trigger Library'!$B$4:$E$14,2,FALSE),""))</f>
        <v/>
      </c>
      <c r="F76" s="9">
        <f>IF(OR(D76="",H76="",I76=""),0,IFERROR(VLOOKUP(D76,'Trigger Library'!$B$4:$E$14,3,FALSE),0))</f>
        <v/>
      </c>
      <c r="G76" s="7" t="n"/>
      <c r="H76" s="7" t="n"/>
      <c r="I76" s="7" t="n"/>
      <c r="J76" s="9">
        <f>IF(I76="","",TODAY()-I76)</f>
        <v/>
      </c>
      <c r="K76" s="9">
        <f>IF(D76="","",IFERROR(VLOOKUP(D76,'Trigger Library'!$B$4:$E$14,4,FALSE),""))</f>
        <v/>
      </c>
      <c r="L76" s="9">
        <f>IF(OR(J76="",K76=""),"",IF(J76&lt;=K76,"Fresh","Expired"))</f>
        <v/>
      </c>
    </row>
    <row r="77">
      <c r="A77" s="7" t="n"/>
      <c r="B77" s="7" t="n"/>
      <c r="C77" s="7" t="n"/>
      <c r="D77" s="7" t="n"/>
      <c r="E77" s="9">
        <f>IF(D77="","",IFERROR(VLOOKUP(D77,'Trigger Library'!$B$4:$E$14,2,FALSE),""))</f>
        <v/>
      </c>
      <c r="F77" s="9">
        <f>IF(OR(D77="",H77="",I77=""),0,IFERROR(VLOOKUP(D77,'Trigger Library'!$B$4:$E$14,3,FALSE),0))</f>
        <v/>
      </c>
      <c r="G77" s="7" t="n"/>
      <c r="H77" s="7" t="n"/>
      <c r="I77" s="7" t="n"/>
      <c r="J77" s="9">
        <f>IF(I77="","",TODAY()-I77)</f>
        <v/>
      </c>
      <c r="K77" s="9">
        <f>IF(D77="","",IFERROR(VLOOKUP(D77,'Trigger Library'!$B$4:$E$14,4,FALSE),""))</f>
        <v/>
      </c>
      <c r="L77" s="9">
        <f>IF(OR(J77="",K77=""),"",IF(J77&lt;=K77,"Fresh","Expired"))</f>
        <v/>
      </c>
    </row>
    <row r="78">
      <c r="A78" s="7" t="n"/>
      <c r="B78" s="7" t="n"/>
      <c r="C78" s="7" t="n"/>
      <c r="D78" s="7" t="n"/>
      <c r="E78" s="9">
        <f>IF(D78="","",IFERROR(VLOOKUP(D78,'Trigger Library'!$B$4:$E$14,2,FALSE),""))</f>
        <v/>
      </c>
      <c r="F78" s="9">
        <f>IF(OR(D78="",H78="",I78=""),0,IFERROR(VLOOKUP(D78,'Trigger Library'!$B$4:$E$14,3,FALSE),0))</f>
        <v/>
      </c>
      <c r="G78" s="7" t="n"/>
      <c r="H78" s="7" t="n"/>
      <c r="I78" s="7" t="n"/>
      <c r="J78" s="9">
        <f>IF(I78="","",TODAY()-I78)</f>
        <v/>
      </c>
      <c r="K78" s="9">
        <f>IF(D78="","",IFERROR(VLOOKUP(D78,'Trigger Library'!$B$4:$E$14,4,FALSE),""))</f>
        <v/>
      </c>
      <c r="L78" s="9">
        <f>IF(OR(J78="",K78=""),"",IF(J78&lt;=K78,"Fresh","Expired"))</f>
        <v/>
      </c>
    </row>
    <row r="79">
      <c r="A79" s="7" t="n"/>
      <c r="B79" s="7" t="n"/>
      <c r="C79" s="7" t="n"/>
      <c r="D79" s="7" t="n"/>
      <c r="E79" s="9">
        <f>IF(D79="","",IFERROR(VLOOKUP(D79,'Trigger Library'!$B$4:$E$14,2,FALSE),""))</f>
        <v/>
      </c>
      <c r="F79" s="9">
        <f>IF(OR(D79="",H79="",I79=""),0,IFERROR(VLOOKUP(D79,'Trigger Library'!$B$4:$E$14,3,FALSE),0))</f>
        <v/>
      </c>
      <c r="G79" s="7" t="n"/>
      <c r="H79" s="7" t="n"/>
      <c r="I79" s="7" t="n"/>
      <c r="J79" s="9">
        <f>IF(I79="","",TODAY()-I79)</f>
        <v/>
      </c>
      <c r="K79" s="9">
        <f>IF(D79="","",IFERROR(VLOOKUP(D79,'Trigger Library'!$B$4:$E$14,4,FALSE),""))</f>
        <v/>
      </c>
      <c r="L79" s="9">
        <f>IF(OR(J79="",K79=""),"",IF(J79&lt;=K79,"Fresh","Expired"))</f>
        <v/>
      </c>
    </row>
    <row r="80">
      <c r="A80" s="7" t="n"/>
      <c r="B80" s="7" t="n"/>
      <c r="C80" s="7" t="n"/>
      <c r="D80" s="7" t="n"/>
      <c r="E80" s="9">
        <f>IF(D80="","",IFERROR(VLOOKUP(D80,'Trigger Library'!$B$4:$E$14,2,FALSE),""))</f>
        <v/>
      </c>
      <c r="F80" s="9">
        <f>IF(OR(D80="",H80="",I80=""),0,IFERROR(VLOOKUP(D80,'Trigger Library'!$B$4:$E$14,3,FALSE),0))</f>
        <v/>
      </c>
      <c r="G80" s="7" t="n"/>
      <c r="H80" s="7" t="n"/>
      <c r="I80" s="7" t="n"/>
      <c r="J80" s="9">
        <f>IF(I80="","",TODAY()-I80)</f>
        <v/>
      </c>
      <c r="K80" s="9">
        <f>IF(D80="","",IFERROR(VLOOKUP(D80,'Trigger Library'!$B$4:$E$14,4,FALSE),""))</f>
        <v/>
      </c>
      <c r="L80" s="9">
        <f>IF(OR(J80="",K80=""),"",IF(J80&lt;=K80,"Fresh","Expired"))</f>
        <v/>
      </c>
    </row>
    <row r="81">
      <c r="A81" s="7" t="n"/>
      <c r="B81" s="7" t="n"/>
      <c r="C81" s="7" t="n"/>
      <c r="D81" s="7" t="n"/>
      <c r="E81" s="9">
        <f>IF(D81="","",IFERROR(VLOOKUP(D81,'Trigger Library'!$B$4:$E$14,2,FALSE),""))</f>
        <v/>
      </c>
      <c r="F81" s="9">
        <f>IF(OR(D81="",H81="",I81=""),0,IFERROR(VLOOKUP(D81,'Trigger Library'!$B$4:$E$14,3,FALSE),0))</f>
        <v/>
      </c>
      <c r="G81" s="7" t="n"/>
      <c r="H81" s="7" t="n"/>
      <c r="I81" s="7" t="n"/>
      <c r="J81" s="9">
        <f>IF(I81="","",TODAY()-I81)</f>
        <v/>
      </c>
      <c r="K81" s="9">
        <f>IF(D81="","",IFERROR(VLOOKUP(D81,'Trigger Library'!$B$4:$E$14,4,FALSE),""))</f>
        <v/>
      </c>
      <c r="L81" s="9">
        <f>IF(OR(J81="",K81=""),"",IF(J81&lt;=K81,"Fresh","Expired"))</f>
        <v/>
      </c>
    </row>
    <row r="82">
      <c r="A82" s="7" t="n"/>
      <c r="B82" s="7" t="n"/>
      <c r="C82" s="7" t="n"/>
      <c r="D82" s="7" t="n"/>
      <c r="E82" s="9">
        <f>IF(D82="","",IFERROR(VLOOKUP(D82,'Trigger Library'!$B$4:$E$14,2,FALSE),""))</f>
        <v/>
      </c>
      <c r="F82" s="9">
        <f>IF(OR(D82="",H82="",I82=""),0,IFERROR(VLOOKUP(D82,'Trigger Library'!$B$4:$E$14,3,FALSE),0))</f>
        <v/>
      </c>
      <c r="G82" s="7" t="n"/>
      <c r="H82" s="7" t="n"/>
      <c r="I82" s="7" t="n"/>
      <c r="J82" s="9">
        <f>IF(I82="","",TODAY()-I82)</f>
        <v/>
      </c>
      <c r="K82" s="9">
        <f>IF(D82="","",IFERROR(VLOOKUP(D82,'Trigger Library'!$B$4:$E$14,4,FALSE),""))</f>
        <v/>
      </c>
      <c r="L82" s="9">
        <f>IF(OR(J82="",K82=""),"",IF(J82&lt;=K82,"Fresh","Expired"))</f>
        <v/>
      </c>
    </row>
    <row r="83">
      <c r="A83" s="7" t="n"/>
      <c r="B83" s="7" t="n"/>
      <c r="C83" s="7" t="n"/>
      <c r="D83" s="7" t="n"/>
      <c r="E83" s="9">
        <f>IF(D83="","",IFERROR(VLOOKUP(D83,'Trigger Library'!$B$4:$E$14,2,FALSE),""))</f>
        <v/>
      </c>
      <c r="F83" s="9">
        <f>IF(OR(D83="",H83="",I83=""),0,IFERROR(VLOOKUP(D83,'Trigger Library'!$B$4:$E$14,3,FALSE),0))</f>
        <v/>
      </c>
      <c r="G83" s="7" t="n"/>
      <c r="H83" s="7" t="n"/>
      <c r="I83" s="7" t="n"/>
      <c r="J83" s="9">
        <f>IF(I83="","",TODAY()-I83)</f>
        <v/>
      </c>
      <c r="K83" s="9">
        <f>IF(D83="","",IFERROR(VLOOKUP(D83,'Trigger Library'!$B$4:$E$14,4,FALSE),""))</f>
        <v/>
      </c>
      <c r="L83" s="9">
        <f>IF(OR(J83="",K83=""),"",IF(J83&lt;=K83,"Fresh","Expired"))</f>
        <v/>
      </c>
    </row>
    <row r="84">
      <c r="A84" s="7" t="n"/>
      <c r="B84" s="7" t="n"/>
      <c r="C84" s="7" t="n"/>
      <c r="D84" s="7" t="n"/>
      <c r="E84" s="9">
        <f>IF(D84="","",IFERROR(VLOOKUP(D84,'Trigger Library'!$B$4:$E$14,2,FALSE),""))</f>
        <v/>
      </c>
      <c r="F84" s="9">
        <f>IF(OR(D84="",H84="",I84=""),0,IFERROR(VLOOKUP(D84,'Trigger Library'!$B$4:$E$14,3,FALSE),0))</f>
        <v/>
      </c>
      <c r="G84" s="7" t="n"/>
      <c r="H84" s="7" t="n"/>
      <c r="I84" s="7" t="n"/>
      <c r="J84" s="9">
        <f>IF(I84="","",TODAY()-I84)</f>
        <v/>
      </c>
      <c r="K84" s="9">
        <f>IF(D84="","",IFERROR(VLOOKUP(D84,'Trigger Library'!$B$4:$E$14,4,FALSE),""))</f>
        <v/>
      </c>
      <c r="L84" s="9">
        <f>IF(OR(J84="",K84=""),"",IF(J84&lt;=K84,"Fresh","Expired"))</f>
        <v/>
      </c>
    </row>
    <row r="85">
      <c r="A85" s="7" t="n"/>
      <c r="B85" s="7" t="n"/>
      <c r="C85" s="7" t="n"/>
      <c r="D85" s="7" t="n"/>
      <c r="E85" s="9">
        <f>IF(D85="","",IFERROR(VLOOKUP(D85,'Trigger Library'!$B$4:$E$14,2,FALSE),""))</f>
        <v/>
      </c>
      <c r="F85" s="9">
        <f>IF(OR(D85="",H85="",I85=""),0,IFERROR(VLOOKUP(D85,'Trigger Library'!$B$4:$E$14,3,FALSE),0))</f>
        <v/>
      </c>
      <c r="G85" s="7" t="n"/>
      <c r="H85" s="7" t="n"/>
      <c r="I85" s="7" t="n"/>
      <c r="J85" s="9">
        <f>IF(I85="","",TODAY()-I85)</f>
        <v/>
      </c>
      <c r="K85" s="9">
        <f>IF(D85="","",IFERROR(VLOOKUP(D85,'Trigger Library'!$B$4:$E$14,4,FALSE),""))</f>
        <v/>
      </c>
      <c r="L85" s="9">
        <f>IF(OR(J85="",K85=""),"",IF(J85&lt;=K85,"Fresh","Expired"))</f>
        <v/>
      </c>
    </row>
    <row r="86">
      <c r="A86" s="7" t="n"/>
      <c r="B86" s="7" t="n"/>
      <c r="C86" s="7" t="n"/>
      <c r="D86" s="7" t="n"/>
      <c r="E86" s="9">
        <f>IF(D86="","",IFERROR(VLOOKUP(D86,'Trigger Library'!$B$4:$E$14,2,FALSE),""))</f>
        <v/>
      </c>
      <c r="F86" s="9">
        <f>IF(OR(D86="",H86="",I86=""),0,IFERROR(VLOOKUP(D86,'Trigger Library'!$B$4:$E$14,3,FALSE),0))</f>
        <v/>
      </c>
      <c r="G86" s="7" t="n"/>
      <c r="H86" s="7" t="n"/>
      <c r="I86" s="7" t="n"/>
      <c r="J86" s="9">
        <f>IF(I86="","",TODAY()-I86)</f>
        <v/>
      </c>
      <c r="K86" s="9">
        <f>IF(D86="","",IFERROR(VLOOKUP(D86,'Trigger Library'!$B$4:$E$14,4,FALSE),""))</f>
        <v/>
      </c>
      <c r="L86" s="9">
        <f>IF(OR(J86="",K86=""),"",IF(J86&lt;=K86,"Fresh","Expired"))</f>
        <v/>
      </c>
    </row>
    <row r="87">
      <c r="A87" s="7" t="n"/>
      <c r="B87" s="7" t="n"/>
      <c r="C87" s="7" t="n"/>
      <c r="D87" s="7" t="n"/>
      <c r="E87" s="9">
        <f>IF(D87="","",IFERROR(VLOOKUP(D87,'Trigger Library'!$B$4:$E$14,2,FALSE),""))</f>
        <v/>
      </c>
      <c r="F87" s="9">
        <f>IF(OR(D87="",H87="",I87=""),0,IFERROR(VLOOKUP(D87,'Trigger Library'!$B$4:$E$14,3,FALSE),0))</f>
        <v/>
      </c>
      <c r="G87" s="7" t="n"/>
      <c r="H87" s="7" t="n"/>
      <c r="I87" s="7" t="n"/>
      <c r="J87" s="9">
        <f>IF(I87="","",TODAY()-I87)</f>
        <v/>
      </c>
      <c r="K87" s="9">
        <f>IF(D87="","",IFERROR(VLOOKUP(D87,'Trigger Library'!$B$4:$E$14,4,FALSE),""))</f>
        <v/>
      </c>
      <c r="L87" s="9">
        <f>IF(OR(J87="",K87=""),"",IF(J87&lt;=K87,"Fresh","Expired"))</f>
        <v/>
      </c>
    </row>
    <row r="88">
      <c r="A88" s="7" t="n"/>
      <c r="B88" s="7" t="n"/>
      <c r="C88" s="7" t="n"/>
      <c r="D88" s="7" t="n"/>
      <c r="E88" s="9">
        <f>IF(D88="","",IFERROR(VLOOKUP(D88,'Trigger Library'!$B$4:$E$14,2,FALSE),""))</f>
        <v/>
      </c>
      <c r="F88" s="9">
        <f>IF(OR(D88="",H88="",I88=""),0,IFERROR(VLOOKUP(D88,'Trigger Library'!$B$4:$E$14,3,FALSE),0))</f>
        <v/>
      </c>
      <c r="G88" s="7" t="n"/>
      <c r="H88" s="7" t="n"/>
      <c r="I88" s="7" t="n"/>
      <c r="J88" s="9">
        <f>IF(I88="","",TODAY()-I88)</f>
        <v/>
      </c>
      <c r="K88" s="9">
        <f>IF(D88="","",IFERROR(VLOOKUP(D88,'Trigger Library'!$B$4:$E$14,4,FALSE),""))</f>
        <v/>
      </c>
      <c r="L88" s="9">
        <f>IF(OR(J88="",K88=""),"",IF(J88&lt;=K88,"Fresh","Expired"))</f>
        <v/>
      </c>
    </row>
    <row r="89">
      <c r="A89" s="7" t="n"/>
      <c r="B89" s="7" t="n"/>
      <c r="C89" s="7" t="n"/>
      <c r="D89" s="7" t="n"/>
      <c r="E89" s="9">
        <f>IF(D89="","",IFERROR(VLOOKUP(D89,'Trigger Library'!$B$4:$E$14,2,FALSE),""))</f>
        <v/>
      </c>
      <c r="F89" s="9">
        <f>IF(OR(D89="",H89="",I89=""),0,IFERROR(VLOOKUP(D89,'Trigger Library'!$B$4:$E$14,3,FALSE),0))</f>
        <v/>
      </c>
      <c r="G89" s="7" t="n"/>
      <c r="H89" s="7" t="n"/>
      <c r="I89" s="7" t="n"/>
      <c r="J89" s="9">
        <f>IF(I89="","",TODAY()-I89)</f>
        <v/>
      </c>
      <c r="K89" s="9">
        <f>IF(D89="","",IFERROR(VLOOKUP(D89,'Trigger Library'!$B$4:$E$14,4,FALSE),""))</f>
        <v/>
      </c>
      <c r="L89" s="9">
        <f>IF(OR(J89="",K89=""),"",IF(J89&lt;=K89,"Fresh","Expired"))</f>
        <v/>
      </c>
    </row>
    <row r="90">
      <c r="A90" s="7" t="n"/>
      <c r="B90" s="7" t="n"/>
      <c r="C90" s="7" t="n"/>
      <c r="D90" s="7" t="n"/>
      <c r="E90" s="9">
        <f>IF(D90="","",IFERROR(VLOOKUP(D90,'Trigger Library'!$B$4:$E$14,2,FALSE),""))</f>
        <v/>
      </c>
      <c r="F90" s="9">
        <f>IF(OR(D90="",H90="",I90=""),0,IFERROR(VLOOKUP(D90,'Trigger Library'!$B$4:$E$14,3,FALSE),0))</f>
        <v/>
      </c>
      <c r="G90" s="7" t="n"/>
      <c r="H90" s="7" t="n"/>
      <c r="I90" s="7" t="n"/>
      <c r="J90" s="9">
        <f>IF(I90="","",TODAY()-I90)</f>
        <v/>
      </c>
      <c r="K90" s="9">
        <f>IF(D90="","",IFERROR(VLOOKUP(D90,'Trigger Library'!$B$4:$E$14,4,FALSE),""))</f>
        <v/>
      </c>
      <c r="L90" s="9">
        <f>IF(OR(J90="",K90=""),"",IF(J90&lt;=K90,"Fresh","Expired"))</f>
        <v/>
      </c>
    </row>
    <row r="91">
      <c r="A91" s="7" t="n"/>
      <c r="B91" s="7" t="n"/>
      <c r="C91" s="7" t="n"/>
      <c r="D91" s="7" t="n"/>
      <c r="E91" s="9">
        <f>IF(D91="","",IFERROR(VLOOKUP(D91,'Trigger Library'!$B$4:$E$14,2,FALSE),""))</f>
        <v/>
      </c>
      <c r="F91" s="9">
        <f>IF(OR(D91="",H91="",I91=""),0,IFERROR(VLOOKUP(D91,'Trigger Library'!$B$4:$E$14,3,FALSE),0))</f>
        <v/>
      </c>
      <c r="G91" s="7" t="n"/>
      <c r="H91" s="7" t="n"/>
      <c r="I91" s="7" t="n"/>
      <c r="J91" s="9">
        <f>IF(I91="","",TODAY()-I91)</f>
        <v/>
      </c>
      <c r="K91" s="9">
        <f>IF(D91="","",IFERROR(VLOOKUP(D91,'Trigger Library'!$B$4:$E$14,4,FALSE),""))</f>
        <v/>
      </c>
      <c r="L91" s="9">
        <f>IF(OR(J91="",K91=""),"",IF(J91&lt;=K91,"Fresh","Expired"))</f>
        <v/>
      </c>
    </row>
    <row r="92">
      <c r="A92" s="7" t="n"/>
      <c r="B92" s="7" t="n"/>
      <c r="C92" s="7" t="n"/>
      <c r="D92" s="7" t="n"/>
      <c r="E92" s="9">
        <f>IF(D92="","",IFERROR(VLOOKUP(D92,'Trigger Library'!$B$4:$E$14,2,FALSE),""))</f>
        <v/>
      </c>
      <c r="F92" s="9">
        <f>IF(OR(D92="",H92="",I92=""),0,IFERROR(VLOOKUP(D92,'Trigger Library'!$B$4:$E$14,3,FALSE),0))</f>
        <v/>
      </c>
      <c r="G92" s="7" t="n"/>
      <c r="H92" s="7" t="n"/>
      <c r="I92" s="7" t="n"/>
      <c r="J92" s="9">
        <f>IF(I92="","",TODAY()-I92)</f>
        <v/>
      </c>
      <c r="K92" s="9">
        <f>IF(D92="","",IFERROR(VLOOKUP(D92,'Trigger Library'!$B$4:$E$14,4,FALSE),""))</f>
        <v/>
      </c>
      <c r="L92" s="9">
        <f>IF(OR(J92="",K92=""),"",IF(J92&lt;=K92,"Fresh","Expired"))</f>
        <v/>
      </c>
    </row>
    <row r="93">
      <c r="A93" s="7" t="n"/>
      <c r="B93" s="7" t="n"/>
      <c r="C93" s="7" t="n"/>
      <c r="D93" s="7" t="n"/>
      <c r="E93" s="9">
        <f>IF(D93="","",IFERROR(VLOOKUP(D93,'Trigger Library'!$B$4:$E$14,2,FALSE),""))</f>
        <v/>
      </c>
      <c r="F93" s="9">
        <f>IF(OR(D93="",H93="",I93=""),0,IFERROR(VLOOKUP(D93,'Trigger Library'!$B$4:$E$14,3,FALSE),0))</f>
        <v/>
      </c>
      <c r="G93" s="7" t="n"/>
      <c r="H93" s="7" t="n"/>
      <c r="I93" s="7" t="n"/>
      <c r="J93" s="9">
        <f>IF(I93="","",TODAY()-I93)</f>
        <v/>
      </c>
      <c r="K93" s="9">
        <f>IF(D93="","",IFERROR(VLOOKUP(D93,'Trigger Library'!$B$4:$E$14,4,FALSE),""))</f>
        <v/>
      </c>
      <c r="L93" s="9">
        <f>IF(OR(J93="",K93=""),"",IF(J93&lt;=K93,"Fresh","Expired"))</f>
        <v/>
      </c>
    </row>
    <row r="94">
      <c r="A94" s="7" t="n"/>
      <c r="B94" s="7" t="n"/>
      <c r="C94" s="7" t="n"/>
      <c r="D94" s="7" t="n"/>
      <c r="E94" s="9">
        <f>IF(D94="","",IFERROR(VLOOKUP(D94,'Trigger Library'!$B$4:$E$14,2,FALSE),""))</f>
        <v/>
      </c>
      <c r="F94" s="9">
        <f>IF(OR(D94="",H94="",I94=""),0,IFERROR(VLOOKUP(D94,'Trigger Library'!$B$4:$E$14,3,FALSE),0))</f>
        <v/>
      </c>
      <c r="G94" s="7" t="n"/>
      <c r="H94" s="7" t="n"/>
      <c r="I94" s="7" t="n"/>
      <c r="J94" s="9">
        <f>IF(I94="","",TODAY()-I94)</f>
        <v/>
      </c>
      <c r="K94" s="9">
        <f>IF(D94="","",IFERROR(VLOOKUP(D94,'Trigger Library'!$B$4:$E$14,4,FALSE),""))</f>
        <v/>
      </c>
      <c r="L94" s="9">
        <f>IF(OR(J94="",K94=""),"",IF(J94&lt;=K94,"Fresh","Expired"))</f>
        <v/>
      </c>
    </row>
    <row r="95">
      <c r="A95" s="7" t="n"/>
      <c r="B95" s="7" t="n"/>
      <c r="C95" s="7" t="n"/>
      <c r="D95" s="7" t="n"/>
      <c r="E95" s="9">
        <f>IF(D95="","",IFERROR(VLOOKUP(D95,'Trigger Library'!$B$4:$E$14,2,FALSE),""))</f>
        <v/>
      </c>
      <c r="F95" s="9">
        <f>IF(OR(D95="",H95="",I95=""),0,IFERROR(VLOOKUP(D95,'Trigger Library'!$B$4:$E$14,3,FALSE),0))</f>
        <v/>
      </c>
      <c r="G95" s="7" t="n"/>
      <c r="H95" s="7" t="n"/>
      <c r="I95" s="7" t="n"/>
      <c r="J95" s="9">
        <f>IF(I95="","",TODAY()-I95)</f>
        <v/>
      </c>
      <c r="K95" s="9">
        <f>IF(D95="","",IFERROR(VLOOKUP(D95,'Trigger Library'!$B$4:$E$14,4,FALSE),""))</f>
        <v/>
      </c>
      <c r="L95" s="9">
        <f>IF(OR(J95="",K95=""),"",IF(J95&lt;=K95,"Fresh","Expired"))</f>
        <v/>
      </c>
    </row>
    <row r="96">
      <c r="A96" s="7" t="n"/>
      <c r="B96" s="7" t="n"/>
      <c r="C96" s="7" t="n"/>
      <c r="D96" s="7" t="n"/>
      <c r="E96" s="9">
        <f>IF(D96="","",IFERROR(VLOOKUP(D96,'Trigger Library'!$B$4:$E$14,2,FALSE),""))</f>
        <v/>
      </c>
      <c r="F96" s="9">
        <f>IF(OR(D96="",H96="",I96=""),0,IFERROR(VLOOKUP(D96,'Trigger Library'!$B$4:$E$14,3,FALSE),0))</f>
        <v/>
      </c>
      <c r="G96" s="7" t="n"/>
      <c r="H96" s="7" t="n"/>
      <c r="I96" s="7" t="n"/>
      <c r="J96" s="9">
        <f>IF(I96="","",TODAY()-I96)</f>
        <v/>
      </c>
      <c r="K96" s="9">
        <f>IF(D96="","",IFERROR(VLOOKUP(D96,'Trigger Library'!$B$4:$E$14,4,FALSE),""))</f>
        <v/>
      </c>
      <c r="L96" s="9">
        <f>IF(OR(J96="",K96=""),"",IF(J96&lt;=K96,"Fresh","Expired"))</f>
        <v/>
      </c>
    </row>
    <row r="97">
      <c r="A97" s="7" t="n"/>
      <c r="B97" s="7" t="n"/>
      <c r="C97" s="7" t="n"/>
      <c r="D97" s="7" t="n"/>
      <c r="E97" s="9">
        <f>IF(D97="","",IFERROR(VLOOKUP(D97,'Trigger Library'!$B$4:$E$14,2,FALSE),""))</f>
        <v/>
      </c>
      <c r="F97" s="9">
        <f>IF(OR(D97="",H97="",I97=""),0,IFERROR(VLOOKUP(D97,'Trigger Library'!$B$4:$E$14,3,FALSE),0))</f>
        <v/>
      </c>
      <c r="G97" s="7" t="n"/>
      <c r="H97" s="7" t="n"/>
      <c r="I97" s="7" t="n"/>
      <c r="J97" s="9">
        <f>IF(I97="","",TODAY()-I97)</f>
        <v/>
      </c>
      <c r="K97" s="9">
        <f>IF(D97="","",IFERROR(VLOOKUP(D97,'Trigger Library'!$B$4:$E$14,4,FALSE),""))</f>
        <v/>
      </c>
      <c r="L97" s="9">
        <f>IF(OR(J97="",K97=""),"",IF(J97&lt;=K97,"Fresh","Expired"))</f>
        <v/>
      </c>
    </row>
    <row r="98">
      <c r="A98" s="7" t="n"/>
      <c r="B98" s="7" t="n"/>
      <c r="C98" s="7" t="n"/>
      <c r="D98" s="7" t="n"/>
      <c r="E98" s="9">
        <f>IF(D98="","",IFERROR(VLOOKUP(D98,'Trigger Library'!$B$4:$E$14,2,FALSE),""))</f>
        <v/>
      </c>
      <c r="F98" s="9">
        <f>IF(OR(D98="",H98="",I98=""),0,IFERROR(VLOOKUP(D98,'Trigger Library'!$B$4:$E$14,3,FALSE),0))</f>
        <v/>
      </c>
      <c r="G98" s="7" t="n"/>
      <c r="H98" s="7" t="n"/>
      <c r="I98" s="7" t="n"/>
      <c r="J98" s="9">
        <f>IF(I98="","",TODAY()-I98)</f>
        <v/>
      </c>
      <c r="K98" s="9">
        <f>IF(D98="","",IFERROR(VLOOKUP(D98,'Trigger Library'!$B$4:$E$14,4,FALSE),""))</f>
        <v/>
      </c>
      <c r="L98" s="9">
        <f>IF(OR(J98="",K98=""),"",IF(J98&lt;=K98,"Fresh","Expired"))</f>
        <v/>
      </c>
    </row>
    <row r="99">
      <c r="A99" s="7" t="n"/>
      <c r="B99" s="7" t="n"/>
      <c r="C99" s="7" t="n"/>
      <c r="D99" s="7" t="n"/>
      <c r="E99" s="9">
        <f>IF(D99="","",IFERROR(VLOOKUP(D99,'Trigger Library'!$B$4:$E$14,2,FALSE),""))</f>
        <v/>
      </c>
      <c r="F99" s="9">
        <f>IF(OR(D99="",H99="",I99=""),0,IFERROR(VLOOKUP(D99,'Trigger Library'!$B$4:$E$14,3,FALSE),0))</f>
        <v/>
      </c>
      <c r="G99" s="7" t="n"/>
      <c r="H99" s="7" t="n"/>
      <c r="I99" s="7" t="n"/>
      <c r="J99" s="9">
        <f>IF(I99="","",TODAY()-I99)</f>
        <v/>
      </c>
      <c r="K99" s="9">
        <f>IF(D99="","",IFERROR(VLOOKUP(D99,'Trigger Library'!$B$4:$E$14,4,FALSE),""))</f>
        <v/>
      </c>
      <c r="L99" s="9">
        <f>IF(OR(J99="",K99=""),"",IF(J99&lt;=K99,"Fresh","Expired"))</f>
        <v/>
      </c>
    </row>
    <row r="100">
      <c r="A100" s="7" t="n"/>
      <c r="B100" s="7" t="n"/>
      <c r="C100" s="7" t="n"/>
      <c r="D100" s="7" t="n"/>
      <c r="E100" s="9">
        <f>IF(D100="","",IFERROR(VLOOKUP(D100,'Trigger Library'!$B$4:$E$14,2,FALSE),""))</f>
        <v/>
      </c>
      <c r="F100" s="9">
        <f>IF(OR(D100="",H100="",I100=""),0,IFERROR(VLOOKUP(D100,'Trigger Library'!$B$4:$E$14,3,FALSE),0))</f>
        <v/>
      </c>
      <c r="G100" s="7" t="n"/>
      <c r="H100" s="7" t="n"/>
      <c r="I100" s="7" t="n"/>
      <c r="J100" s="9">
        <f>IF(I100="","",TODAY()-I100)</f>
        <v/>
      </c>
      <c r="K100" s="9">
        <f>IF(D100="","",IFERROR(VLOOKUP(D100,'Trigger Library'!$B$4:$E$14,4,FALSE),""))</f>
        <v/>
      </c>
      <c r="L100" s="9">
        <f>IF(OR(J100="",K100=""),"",IF(J100&lt;=K100,"Fresh","Expired"))</f>
        <v/>
      </c>
    </row>
    <row r="101">
      <c r="A101" s="7" t="n"/>
      <c r="B101" s="7" t="n"/>
      <c r="C101" s="7" t="n"/>
      <c r="D101" s="7" t="n"/>
      <c r="E101" s="9">
        <f>IF(D101="","",IFERROR(VLOOKUP(D101,'Trigger Library'!$B$4:$E$14,2,FALSE),""))</f>
        <v/>
      </c>
      <c r="F101" s="9">
        <f>IF(OR(D101="",H101="",I101=""),0,IFERROR(VLOOKUP(D101,'Trigger Library'!$B$4:$E$14,3,FALSE),0))</f>
        <v/>
      </c>
      <c r="G101" s="7" t="n"/>
      <c r="H101" s="7" t="n"/>
      <c r="I101" s="7" t="n"/>
      <c r="J101" s="9">
        <f>IF(I101="","",TODAY()-I101)</f>
        <v/>
      </c>
      <c r="K101" s="9">
        <f>IF(D101="","",IFERROR(VLOOKUP(D101,'Trigger Library'!$B$4:$E$14,4,FALSE),""))</f>
        <v/>
      </c>
      <c r="L101" s="9">
        <f>IF(OR(J101="",K101=""),"",IF(J101&lt;=K101,"Fresh","Expired"))</f>
        <v/>
      </c>
    </row>
    <row r="102">
      <c r="A102" s="7" t="n"/>
      <c r="B102" s="7" t="n"/>
      <c r="C102" s="7" t="n"/>
      <c r="D102" s="7" t="n"/>
      <c r="E102" s="9">
        <f>IF(D102="","",IFERROR(VLOOKUP(D102,'Trigger Library'!$B$4:$E$14,2,FALSE),""))</f>
        <v/>
      </c>
      <c r="F102" s="9">
        <f>IF(OR(D102="",H102="",I102=""),0,IFERROR(VLOOKUP(D102,'Trigger Library'!$B$4:$E$14,3,FALSE),0))</f>
        <v/>
      </c>
      <c r="G102" s="7" t="n"/>
      <c r="H102" s="7" t="n"/>
      <c r="I102" s="7" t="n"/>
      <c r="J102" s="9">
        <f>IF(I102="","",TODAY()-I102)</f>
        <v/>
      </c>
      <c r="K102" s="9">
        <f>IF(D102="","",IFERROR(VLOOKUP(D102,'Trigger Library'!$B$4:$E$14,4,FALSE),""))</f>
        <v/>
      </c>
      <c r="L102" s="9">
        <f>IF(OR(J102="",K102=""),"",IF(J102&lt;=K102,"Fresh","Expired"))</f>
        <v/>
      </c>
    </row>
    <row r="103">
      <c r="A103" s="7" t="n"/>
      <c r="B103" s="7" t="n"/>
      <c r="C103" s="7" t="n"/>
      <c r="D103" s="7" t="n"/>
      <c r="E103" s="9">
        <f>IF(D103="","",IFERROR(VLOOKUP(D103,'Trigger Library'!$B$4:$E$14,2,FALSE),""))</f>
        <v/>
      </c>
      <c r="F103" s="9">
        <f>IF(OR(D103="",H103="",I103=""),0,IFERROR(VLOOKUP(D103,'Trigger Library'!$B$4:$E$14,3,FALSE),0))</f>
        <v/>
      </c>
      <c r="G103" s="7" t="n"/>
      <c r="H103" s="7" t="n"/>
      <c r="I103" s="7" t="n"/>
      <c r="J103" s="9">
        <f>IF(I103="","",TODAY()-I103)</f>
        <v/>
      </c>
      <c r="K103" s="9">
        <f>IF(D103="","",IFERROR(VLOOKUP(D103,'Trigger Library'!$B$4:$E$14,4,FALSE),""))</f>
        <v/>
      </c>
      <c r="L103" s="9">
        <f>IF(OR(J103="",K103=""),"",IF(J103&lt;=K103,"Fresh","Expired"))</f>
        <v/>
      </c>
    </row>
    <row r="104">
      <c r="A104" s="7" t="n"/>
      <c r="B104" s="7" t="n"/>
      <c r="C104" s="7" t="n"/>
      <c r="D104" s="7" t="n"/>
      <c r="E104" s="9">
        <f>IF(D104="","",IFERROR(VLOOKUP(D104,'Trigger Library'!$B$4:$E$14,2,FALSE),""))</f>
        <v/>
      </c>
      <c r="F104" s="9">
        <f>IF(OR(D104="",H104="",I104=""),0,IFERROR(VLOOKUP(D104,'Trigger Library'!$B$4:$E$14,3,FALSE),0))</f>
        <v/>
      </c>
      <c r="G104" s="7" t="n"/>
      <c r="H104" s="7" t="n"/>
      <c r="I104" s="7" t="n"/>
      <c r="J104" s="9">
        <f>IF(I104="","",TODAY()-I104)</f>
        <v/>
      </c>
      <c r="K104" s="9">
        <f>IF(D104="","",IFERROR(VLOOKUP(D104,'Trigger Library'!$B$4:$E$14,4,FALSE),""))</f>
        <v/>
      </c>
      <c r="L104" s="9">
        <f>IF(OR(J104="",K104=""),"",IF(J104&lt;=K104,"Fresh","Expired"))</f>
        <v/>
      </c>
    </row>
    <row r="105">
      <c r="A105" s="7" t="n"/>
      <c r="B105" s="7" t="n"/>
      <c r="C105" s="7" t="n"/>
      <c r="D105" s="7" t="n"/>
      <c r="E105" s="9">
        <f>IF(D105="","",IFERROR(VLOOKUP(D105,'Trigger Library'!$B$4:$E$14,2,FALSE),""))</f>
        <v/>
      </c>
      <c r="F105" s="9">
        <f>IF(OR(D105="",H105="",I105=""),0,IFERROR(VLOOKUP(D105,'Trigger Library'!$B$4:$E$14,3,FALSE),0))</f>
        <v/>
      </c>
      <c r="G105" s="7" t="n"/>
      <c r="H105" s="7" t="n"/>
      <c r="I105" s="7" t="n"/>
      <c r="J105" s="9">
        <f>IF(I105="","",TODAY()-I105)</f>
        <v/>
      </c>
      <c r="K105" s="9">
        <f>IF(D105="","",IFERROR(VLOOKUP(D105,'Trigger Library'!$B$4:$E$14,4,FALSE),""))</f>
        <v/>
      </c>
      <c r="L105" s="9">
        <f>IF(OR(J105="",K105=""),"",IF(J105&lt;=K105,"Fresh","Expired"))</f>
        <v/>
      </c>
    </row>
    <row r="106">
      <c r="A106" s="7" t="n"/>
      <c r="B106" s="7" t="n"/>
      <c r="C106" s="7" t="n"/>
      <c r="D106" s="7" t="n"/>
      <c r="E106" s="9">
        <f>IF(D106="","",IFERROR(VLOOKUP(D106,'Trigger Library'!$B$4:$E$14,2,FALSE),""))</f>
        <v/>
      </c>
      <c r="F106" s="9">
        <f>IF(OR(D106="",H106="",I106=""),0,IFERROR(VLOOKUP(D106,'Trigger Library'!$B$4:$E$14,3,FALSE),0))</f>
        <v/>
      </c>
      <c r="G106" s="7" t="n"/>
      <c r="H106" s="7" t="n"/>
      <c r="I106" s="7" t="n"/>
      <c r="J106" s="9">
        <f>IF(I106="","",TODAY()-I106)</f>
        <v/>
      </c>
      <c r="K106" s="9">
        <f>IF(D106="","",IFERROR(VLOOKUP(D106,'Trigger Library'!$B$4:$E$14,4,FALSE),""))</f>
        <v/>
      </c>
      <c r="L106" s="9">
        <f>IF(OR(J106="",K106=""),"",IF(J106&lt;=K106,"Fresh","Expired"))</f>
        <v/>
      </c>
    </row>
    <row r="107">
      <c r="A107" s="7" t="n"/>
      <c r="B107" s="7" t="n"/>
      <c r="C107" s="7" t="n"/>
      <c r="D107" s="7" t="n"/>
      <c r="E107" s="9">
        <f>IF(D107="","",IFERROR(VLOOKUP(D107,'Trigger Library'!$B$4:$E$14,2,FALSE),""))</f>
        <v/>
      </c>
      <c r="F107" s="9">
        <f>IF(OR(D107="",H107="",I107=""),0,IFERROR(VLOOKUP(D107,'Trigger Library'!$B$4:$E$14,3,FALSE),0))</f>
        <v/>
      </c>
      <c r="G107" s="7" t="n"/>
      <c r="H107" s="7" t="n"/>
      <c r="I107" s="7" t="n"/>
      <c r="J107" s="9">
        <f>IF(I107="","",TODAY()-I107)</f>
        <v/>
      </c>
      <c r="K107" s="9">
        <f>IF(D107="","",IFERROR(VLOOKUP(D107,'Trigger Library'!$B$4:$E$14,4,FALSE),""))</f>
        <v/>
      </c>
      <c r="L107" s="9">
        <f>IF(OR(J107="",K107=""),"",IF(J107&lt;=K107,"Fresh","Expired"))</f>
        <v/>
      </c>
    </row>
    <row r="108">
      <c r="A108" s="7" t="n"/>
      <c r="B108" s="7" t="n"/>
      <c r="C108" s="7" t="n"/>
      <c r="D108" s="7" t="n"/>
      <c r="E108" s="9">
        <f>IF(D108="","",IFERROR(VLOOKUP(D108,'Trigger Library'!$B$4:$E$14,2,FALSE),""))</f>
        <v/>
      </c>
      <c r="F108" s="9">
        <f>IF(OR(D108="",H108="",I108=""),0,IFERROR(VLOOKUP(D108,'Trigger Library'!$B$4:$E$14,3,FALSE),0))</f>
        <v/>
      </c>
      <c r="G108" s="7" t="n"/>
      <c r="H108" s="7" t="n"/>
      <c r="I108" s="7" t="n"/>
      <c r="J108" s="9">
        <f>IF(I108="","",TODAY()-I108)</f>
        <v/>
      </c>
      <c r="K108" s="9">
        <f>IF(D108="","",IFERROR(VLOOKUP(D108,'Trigger Library'!$B$4:$E$14,4,FALSE),""))</f>
        <v/>
      </c>
      <c r="L108" s="9">
        <f>IF(OR(J108="",K108=""),"",IF(J108&lt;=K108,"Fresh","Expired"))</f>
        <v/>
      </c>
    </row>
    <row r="109">
      <c r="A109" s="7" t="n"/>
      <c r="B109" s="7" t="n"/>
      <c r="C109" s="7" t="n"/>
      <c r="D109" s="7" t="n"/>
      <c r="E109" s="9">
        <f>IF(D109="","",IFERROR(VLOOKUP(D109,'Trigger Library'!$B$4:$E$14,2,FALSE),""))</f>
        <v/>
      </c>
      <c r="F109" s="9">
        <f>IF(OR(D109="",H109="",I109=""),0,IFERROR(VLOOKUP(D109,'Trigger Library'!$B$4:$E$14,3,FALSE),0))</f>
        <v/>
      </c>
      <c r="G109" s="7" t="n"/>
      <c r="H109" s="7" t="n"/>
      <c r="I109" s="7" t="n"/>
      <c r="J109" s="9">
        <f>IF(I109="","",TODAY()-I109)</f>
        <v/>
      </c>
      <c r="K109" s="9">
        <f>IF(D109="","",IFERROR(VLOOKUP(D109,'Trigger Library'!$B$4:$E$14,4,FALSE),""))</f>
        <v/>
      </c>
      <c r="L109" s="9">
        <f>IF(OR(J109="",K109=""),"",IF(J109&lt;=K109,"Fresh","Expired"))</f>
        <v/>
      </c>
    </row>
    <row r="110">
      <c r="A110" s="7" t="n"/>
      <c r="B110" s="7" t="n"/>
      <c r="C110" s="7" t="n"/>
      <c r="D110" s="7" t="n"/>
      <c r="E110" s="9">
        <f>IF(D110="","",IFERROR(VLOOKUP(D110,'Trigger Library'!$B$4:$E$14,2,FALSE),""))</f>
        <v/>
      </c>
      <c r="F110" s="9">
        <f>IF(OR(D110="",H110="",I110=""),0,IFERROR(VLOOKUP(D110,'Trigger Library'!$B$4:$E$14,3,FALSE),0))</f>
        <v/>
      </c>
      <c r="G110" s="7" t="n"/>
      <c r="H110" s="7" t="n"/>
      <c r="I110" s="7" t="n"/>
      <c r="J110" s="9">
        <f>IF(I110="","",TODAY()-I110)</f>
        <v/>
      </c>
      <c r="K110" s="9">
        <f>IF(D110="","",IFERROR(VLOOKUP(D110,'Trigger Library'!$B$4:$E$14,4,FALSE),""))</f>
        <v/>
      </c>
      <c r="L110" s="9">
        <f>IF(OR(J110="",K110=""),"",IF(J110&lt;=K110,"Fresh","Expired"))</f>
        <v/>
      </c>
    </row>
    <row r="111">
      <c r="A111" s="7" t="n"/>
      <c r="B111" s="7" t="n"/>
      <c r="C111" s="7" t="n"/>
      <c r="D111" s="7" t="n"/>
      <c r="E111" s="9">
        <f>IF(D111="","",IFERROR(VLOOKUP(D111,'Trigger Library'!$B$4:$E$14,2,FALSE),""))</f>
        <v/>
      </c>
      <c r="F111" s="9">
        <f>IF(OR(D111="",H111="",I111=""),0,IFERROR(VLOOKUP(D111,'Trigger Library'!$B$4:$E$14,3,FALSE),0))</f>
        <v/>
      </c>
      <c r="G111" s="7" t="n"/>
      <c r="H111" s="7" t="n"/>
      <c r="I111" s="7" t="n"/>
      <c r="J111" s="9">
        <f>IF(I111="","",TODAY()-I111)</f>
        <v/>
      </c>
      <c r="K111" s="9">
        <f>IF(D111="","",IFERROR(VLOOKUP(D111,'Trigger Library'!$B$4:$E$14,4,FALSE),""))</f>
        <v/>
      </c>
      <c r="L111" s="9">
        <f>IF(OR(J111="",K111=""),"",IF(J111&lt;=K111,"Fresh","Expired"))</f>
        <v/>
      </c>
    </row>
    <row r="112">
      <c r="A112" s="7" t="n"/>
      <c r="B112" s="7" t="n"/>
      <c r="C112" s="7" t="n"/>
      <c r="D112" s="7" t="n"/>
      <c r="E112" s="9">
        <f>IF(D112="","",IFERROR(VLOOKUP(D112,'Trigger Library'!$B$4:$E$14,2,FALSE),""))</f>
        <v/>
      </c>
      <c r="F112" s="9">
        <f>IF(OR(D112="",H112="",I112=""),0,IFERROR(VLOOKUP(D112,'Trigger Library'!$B$4:$E$14,3,FALSE),0))</f>
        <v/>
      </c>
      <c r="G112" s="7" t="n"/>
      <c r="H112" s="7" t="n"/>
      <c r="I112" s="7" t="n"/>
      <c r="J112" s="9">
        <f>IF(I112="","",TODAY()-I112)</f>
        <v/>
      </c>
      <c r="K112" s="9">
        <f>IF(D112="","",IFERROR(VLOOKUP(D112,'Trigger Library'!$B$4:$E$14,4,FALSE),""))</f>
        <v/>
      </c>
      <c r="L112" s="9">
        <f>IF(OR(J112="",K112=""),"",IF(J112&lt;=K112,"Fresh","Expired"))</f>
        <v/>
      </c>
    </row>
    <row r="113">
      <c r="A113" s="7" t="n"/>
      <c r="B113" s="7" t="n"/>
      <c r="C113" s="7" t="n"/>
      <c r="D113" s="7" t="n"/>
      <c r="E113" s="9">
        <f>IF(D113="","",IFERROR(VLOOKUP(D113,'Trigger Library'!$B$4:$E$14,2,FALSE),""))</f>
        <v/>
      </c>
      <c r="F113" s="9">
        <f>IF(OR(D113="",H113="",I113=""),0,IFERROR(VLOOKUP(D113,'Trigger Library'!$B$4:$E$14,3,FALSE),0))</f>
        <v/>
      </c>
      <c r="G113" s="7" t="n"/>
      <c r="H113" s="7" t="n"/>
      <c r="I113" s="7" t="n"/>
      <c r="J113" s="9">
        <f>IF(I113="","",TODAY()-I113)</f>
        <v/>
      </c>
      <c r="K113" s="9">
        <f>IF(D113="","",IFERROR(VLOOKUP(D113,'Trigger Library'!$B$4:$E$14,4,FALSE),""))</f>
        <v/>
      </c>
      <c r="L113" s="9">
        <f>IF(OR(J113="",K113=""),"",IF(J113&lt;=K113,"Fresh","Expired"))</f>
        <v/>
      </c>
    </row>
    <row r="114">
      <c r="A114" s="7" t="n"/>
      <c r="B114" s="7" t="n"/>
      <c r="C114" s="7" t="n"/>
      <c r="D114" s="7" t="n"/>
      <c r="E114" s="9">
        <f>IF(D114="","",IFERROR(VLOOKUP(D114,'Trigger Library'!$B$4:$E$14,2,FALSE),""))</f>
        <v/>
      </c>
      <c r="F114" s="9">
        <f>IF(OR(D114="",H114="",I114=""),0,IFERROR(VLOOKUP(D114,'Trigger Library'!$B$4:$E$14,3,FALSE),0))</f>
        <v/>
      </c>
      <c r="G114" s="7" t="n"/>
      <c r="H114" s="7" t="n"/>
      <c r="I114" s="7" t="n"/>
      <c r="J114" s="9">
        <f>IF(I114="","",TODAY()-I114)</f>
        <v/>
      </c>
      <c r="K114" s="9">
        <f>IF(D114="","",IFERROR(VLOOKUP(D114,'Trigger Library'!$B$4:$E$14,4,FALSE),""))</f>
        <v/>
      </c>
      <c r="L114" s="9">
        <f>IF(OR(J114="",K114=""),"",IF(J114&lt;=K114,"Fresh","Expired"))</f>
        <v/>
      </c>
    </row>
    <row r="115">
      <c r="A115" s="7" t="n"/>
      <c r="B115" s="7" t="n"/>
      <c r="C115" s="7" t="n"/>
      <c r="D115" s="7" t="n"/>
      <c r="E115" s="9">
        <f>IF(D115="","",IFERROR(VLOOKUP(D115,'Trigger Library'!$B$4:$E$14,2,FALSE),""))</f>
        <v/>
      </c>
      <c r="F115" s="9">
        <f>IF(OR(D115="",H115="",I115=""),0,IFERROR(VLOOKUP(D115,'Trigger Library'!$B$4:$E$14,3,FALSE),0))</f>
        <v/>
      </c>
      <c r="G115" s="7" t="n"/>
      <c r="H115" s="7" t="n"/>
      <c r="I115" s="7" t="n"/>
      <c r="J115" s="9">
        <f>IF(I115="","",TODAY()-I115)</f>
        <v/>
      </c>
      <c r="K115" s="9">
        <f>IF(D115="","",IFERROR(VLOOKUP(D115,'Trigger Library'!$B$4:$E$14,4,FALSE),""))</f>
        <v/>
      </c>
      <c r="L115" s="9">
        <f>IF(OR(J115="",K115=""),"",IF(J115&lt;=K115,"Fresh","Expired"))</f>
        <v/>
      </c>
    </row>
    <row r="116">
      <c r="A116" s="7" t="n"/>
      <c r="B116" s="7" t="n"/>
      <c r="C116" s="7" t="n"/>
      <c r="D116" s="7" t="n"/>
      <c r="E116" s="9">
        <f>IF(D116="","",IFERROR(VLOOKUP(D116,'Trigger Library'!$B$4:$E$14,2,FALSE),""))</f>
        <v/>
      </c>
      <c r="F116" s="9">
        <f>IF(OR(D116="",H116="",I116=""),0,IFERROR(VLOOKUP(D116,'Trigger Library'!$B$4:$E$14,3,FALSE),0))</f>
        <v/>
      </c>
      <c r="G116" s="7" t="n"/>
      <c r="H116" s="7" t="n"/>
      <c r="I116" s="7" t="n"/>
      <c r="J116" s="9">
        <f>IF(I116="","",TODAY()-I116)</f>
        <v/>
      </c>
      <c r="K116" s="9">
        <f>IF(D116="","",IFERROR(VLOOKUP(D116,'Trigger Library'!$B$4:$E$14,4,FALSE),""))</f>
        <v/>
      </c>
      <c r="L116" s="9">
        <f>IF(OR(J116="",K116=""),"",IF(J116&lt;=K116,"Fresh","Expired"))</f>
        <v/>
      </c>
    </row>
    <row r="117">
      <c r="A117" s="7" t="n"/>
      <c r="B117" s="7" t="n"/>
      <c r="C117" s="7" t="n"/>
      <c r="D117" s="7" t="n"/>
      <c r="E117" s="9">
        <f>IF(D117="","",IFERROR(VLOOKUP(D117,'Trigger Library'!$B$4:$E$14,2,FALSE),""))</f>
        <v/>
      </c>
      <c r="F117" s="9">
        <f>IF(OR(D117="",H117="",I117=""),0,IFERROR(VLOOKUP(D117,'Trigger Library'!$B$4:$E$14,3,FALSE),0))</f>
        <v/>
      </c>
      <c r="G117" s="7" t="n"/>
      <c r="H117" s="7" t="n"/>
      <c r="I117" s="7" t="n"/>
      <c r="J117" s="9">
        <f>IF(I117="","",TODAY()-I117)</f>
        <v/>
      </c>
      <c r="K117" s="9">
        <f>IF(D117="","",IFERROR(VLOOKUP(D117,'Trigger Library'!$B$4:$E$14,4,FALSE),""))</f>
        <v/>
      </c>
      <c r="L117" s="9">
        <f>IF(OR(J117="",K117=""),"",IF(J117&lt;=K117,"Fresh","Expired"))</f>
        <v/>
      </c>
    </row>
    <row r="118">
      <c r="A118" s="7" t="n"/>
      <c r="B118" s="7" t="n"/>
      <c r="C118" s="7" t="n"/>
      <c r="D118" s="7" t="n"/>
      <c r="E118" s="9">
        <f>IF(D118="","",IFERROR(VLOOKUP(D118,'Trigger Library'!$B$4:$E$14,2,FALSE),""))</f>
        <v/>
      </c>
      <c r="F118" s="9">
        <f>IF(OR(D118="",H118="",I118=""),0,IFERROR(VLOOKUP(D118,'Trigger Library'!$B$4:$E$14,3,FALSE),0))</f>
        <v/>
      </c>
      <c r="G118" s="7" t="n"/>
      <c r="H118" s="7" t="n"/>
      <c r="I118" s="7" t="n"/>
      <c r="J118" s="9">
        <f>IF(I118="","",TODAY()-I118)</f>
        <v/>
      </c>
      <c r="K118" s="9">
        <f>IF(D118="","",IFERROR(VLOOKUP(D118,'Trigger Library'!$B$4:$E$14,4,FALSE),""))</f>
        <v/>
      </c>
      <c r="L118" s="9">
        <f>IF(OR(J118="",K118=""),"",IF(J118&lt;=K118,"Fresh","Expired"))</f>
        <v/>
      </c>
    </row>
    <row r="119">
      <c r="A119" s="7" t="n"/>
      <c r="B119" s="7" t="n"/>
      <c r="C119" s="7" t="n"/>
      <c r="D119" s="7" t="n"/>
      <c r="E119" s="9">
        <f>IF(D119="","",IFERROR(VLOOKUP(D119,'Trigger Library'!$B$4:$E$14,2,FALSE),""))</f>
        <v/>
      </c>
      <c r="F119" s="9">
        <f>IF(OR(D119="",H119="",I119=""),0,IFERROR(VLOOKUP(D119,'Trigger Library'!$B$4:$E$14,3,FALSE),0))</f>
        <v/>
      </c>
      <c r="G119" s="7" t="n"/>
      <c r="H119" s="7" t="n"/>
      <c r="I119" s="7" t="n"/>
      <c r="J119" s="9">
        <f>IF(I119="","",TODAY()-I119)</f>
        <v/>
      </c>
      <c r="K119" s="9">
        <f>IF(D119="","",IFERROR(VLOOKUP(D119,'Trigger Library'!$B$4:$E$14,4,FALSE),""))</f>
        <v/>
      </c>
      <c r="L119" s="9">
        <f>IF(OR(J119="",K119=""),"",IF(J119&lt;=K119,"Fresh","Expired"))</f>
        <v/>
      </c>
    </row>
    <row r="120">
      <c r="A120" s="7" t="n"/>
      <c r="B120" s="7" t="n"/>
      <c r="C120" s="7" t="n"/>
      <c r="D120" s="7" t="n"/>
      <c r="E120" s="9">
        <f>IF(D120="","",IFERROR(VLOOKUP(D120,'Trigger Library'!$B$4:$E$14,2,FALSE),""))</f>
        <v/>
      </c>
      <c r="F120" s="9">
        <f>IF(OR(D120="",H120="",I120=""),0,IFERROR(VLOOKUP(D120,'Trigger Library'!$B$4:$E$14,3,FALSE),0))</f>
        <v/>
      </c>
      <c r="G120" s="7" t="n"/>
      <c r="H120" s="7" t="n"/>
      <c r="I120" s="7" t="n"/>
      <c r="J120" s="9">
        <f>IF(I120="","",TODAY()-I120)</f>
        <v/>
      </c>
      <c r="K120" s="9">
        <f>IF(D120="","",IFERROR(VLOOKUP(D120,'Trigger Library'!$B$4:$E$14,4,FALSE),""))</f>
        <v/>
      </c>
      <c r="L120" s="9">
        <f>IF(OR(J120="",K120=""),"",IF(J120&lt;=K120,"Fresh","Expired"))</f>
        <v/>
      </c>
    </row>
    <row r="121">
      <c r="A121" s="7" t="n"/>
      <c r="B121" s="7" t="n"/>
      <c r="C121" s="7" t="n"/>
      <c r="D121" s="7" t="n"/>
      <c r="E121" s="9">
        <f>IF(D121="","",IFERROR(VLOOKUP(D121,'Trigger Library'!$B$4:$E$14,2,FALSE),""))</f>
        <v/>
      </c>
      <c r="F121" s="9">
        <f>IF(OR(D121="",H121="",I121=""),0,IFERROR(VLOOKUP(D121,'Trigger Library'!$B$4:$E$14,3,FALSE),0))</f>
        <v/>
      </c>
      <c r="G121" s="7" t="n"/>
      <c r="H121" s="7" t="n"/>
      <c r="I121" s="7" t="n"/>
      <c r="J121" s="9">
        <f>IF(I121="","",TODAY()-I121)</f>
        <v/>
      </c>
      <c r="K121" s="9">
        <f>IF(D121="","",IFERROR(VLOOKUP(D121,'Trigger Library'!$B$4:$E$14,4,FALSE),""))</f>
        <v/>
      </c>
      <c r="L121" s="9">
        <f>IF(OR(J121="",K121=""),"",IF(J121&lt;=K121,"Fresh","Expired"))</f>
        <v/>
      </c>
    </row>
    <row r="122">
      <c r="A122" s="7" t="n"/>
      <c r="B122" s="7" t="n"/>
      <c r="C122" s="7" t="n"/>
      <c r="D122" s="7" t="n"/>
      <c r="E122" s="9">
        <f>IF(D122="","",IFERROR(VLOOKUP(D122,'Trigger Library'!$B$4:$E$14,2,FALSE),""))</f>
        <v/>
      </c>
      <c r="F122" s="9">
        <f>IF(OR(D122="",H122="",I122=""),0,IFERROR(VLOOKUP(D122,'Trigger Library'!$B$4:$E$14,3,FALSE),0))</f>
        <v/>
      </c>
      <c r="G122" s="7" t="n"/>
      <c r="H122" s="7" t="n"/>
      <c r="I122" s="7" t="n"/>
      <c r="J122" s="9">
        <f>IF(I122="","",TODAY()-I122)</f>
        <v/>
      </c>
      <c r="K122" s="9">
        <f>IF(D122="","",IFERROR(VLOOKUP(D122,'Trigger Library'!$B$4:$E$14,4,FALSE),""))</f>
        <v/>
      </c>
      <c r="L122" s="9">
        <f>IF(OR(J122="",K122=""),"",IF(J122&lt;=K122,"Fresh","Expired"))</f>
        <v/>
      </c>
    </row>
    <row r="123">
      <c r="A123" s="7" t="n"/>
      <c r="B123" s="7" t="n"/>
      <c r="C123" s="7" t="n"/>
      <c r="D123" s="7" t="n"/>
      <c r="E123" s="9">
        <f>IF(D123="","",IFERROR(VLOOKUP(D123,'Trigger Library'!$B$4:$E$14,2,FALSE),""))</f>
        <v/>
      </c>
      <c r="F123" s="9">
        <f>IF(OR(D123="",H123="",I123=""),0,IFERROR(VLOOKUP(D123,'Trigger Library'!$B$4:$E$14,3,FALSE),0))</f>
        <v/>
      </c>
      <c r="G123" s="7" t="n"/>
      <c r="H123" s="7" t="n"/>
      <c r="I123" s="7" t="n"/>
      <c r="J123" s="9">
        <f>IF(I123="","",TODAY()-I123)</f>
        <v/>
      </c>
      <c r="K123" s="9">
        <f>IF(D123="","",IFERROR(VLOOKUP(D123,'Trigger Library'!$B$4:$E$14,4,FALSE),""))</f>
        <v/>
      </c>
      <c r="L123" s="9">
        <f>IF(OR(J123="",K123=""),"",IF(J123&lt;=K123,"Fresh","Expired"))</f>
        <v/>
      </c>
    </row>
    <row r="124">
      <c r="A124" s="7" t="n"/>
      <c r="B124" s="7" t="n"/>
      <c r="C124" s="7" t="n"/>
      <c r="D124" s="7" t="n"/>
      <c r="E124" s="9">
        <f>IF(D124="","",IFERROR(VLOOKUP(D124,'Trigger Library'!$B$4:$E$14,2,FALSE),""))</f>
        <v/>
      </c>
      <c r="F124" s="9">
        <f>IF(OR(D124="",H124="",I124=""),0,IFERROR(VLOOKUP(D124,'Trigger Library'!$B$4:$E$14,3,FALSE),0))</f>
        <v/>
      </c>
      <c r="G124" s="7" t="n"/>
      <c r="H124" s="7" t="n"/>
      <c r="I124" s="7" t="n"/>
      <c r="J124" s="9">
        <f>IF(I124="","",TODAY()-I124)</f>
        <v/>
      </c>
      <c r="K124" s="9">
        <f>IF(D124="","",IFERROR(VLOOKUP(D124,'Trigger Library'!$B$4:$E$14,4,FALSE),""))</f>
        <v/>
      </c>
      <c r="L124" s="9">
        <f>IF(OR(J124="",K124=""),"",IF(J124&lt;=K124,"Fresh","Expired"))</f>
        <v/>
      </c>
    </row>
    <row r="125">
      <c r="A125" s="7" t="n"/>
      <c r="B125" s="7" t="n"/>
      <c r="C125" s="7" t="n"/>
      <c r="D125" s="7" t="n"/>
      <c r="E125" s="9">
        <f>IF(D125="","",IFERROR(VLOOKUP(D125,'Trigger Library'!$B$4:$E$14,2,FALSE),""))</f>
        <v/>
      </c>
      <c r="F125" s="9">
        <f>IF(OR(D125="",H125="",I125=""),0,IFERROR(VLOOKUP(D125,'Trigger Library'!$B$4:$E$14,3,FALSE),0))</f>
        <v/>
      </c>
      <c r="G125" s="7" t="n"/>
      <c r="H125" s="7" t="n"/>
      <c r="I125" s="7" t="n"/>
      <c r="J125" s="9">
        <f>IF(I125="","",TODAY()-I125)</f>
        <v/>
      </c>
      <c r="K125" s="9">
        <f>IF(D125="","",IFERROR(VLOOKUP(D125,'Trigger Library'!$B$4:$E$14,4,FALSE),""))</f>
        <v/>
      </c>
      <c r="L125" s="9">
        <f>IF(OR(J125="",K125=""),"",IF(J125&lt;=K125,"Fresh","Expired"))</f>
        <v/>
      </c>
    </row>
    <row r="126">
      <c r="A126" s="7" t="n"/>
      <c r="B126" s="7" t="n"/>
      <c r="C126" s="7" t="n"/>
      <c r="D126" s="7" t="n"/>
      <c r="E126" s="9">
        <f>IF(D126="","",IFERROR(VLOOKUP(D126,'Trigger Library'!$B$4:$E$14,2,FALSE),""))</f>
        <v/>
      </c>
      <c r="F126" s="9">
        <f>IF(OR(D126="",H126="",I126=""),0,IFERROR(VLOOKUP(D126,'Trigger Library'!$B$4:$E$14,3,FALSE),0))</f>
        <v/>
      </c>
      <c r="G126" s="7" t="n"/>
      <c r="H126" s="7" t="n"/>
      <c r="I126" s="7" t="n"/>
      <c r="J126" s="9">
        <f>IF(I126="","",TODAY()-I126)</f>
        <v/>
      </c>
      <c r="K126" s="9">
        <f>IF(D126="","",IFERROR(VLOOKUP(D126,'Trigger Library'!$B$4:$E$14,4,FALSE),""))</f>
        <v/>
      </c>
      <c r="L126" s="9">
        <f>IF(OR(J126="",K126=""),"",IF(J126&lt;=K126,"Fresh","Expired"))</f>
        <v/>
      </c>
    </row>
    <row r="127">
      <c r="A127" s="7" t="n"/>
      <c r="B127" s="7" t="n"/>
      <c r="C127" s="7" t="n"/>
      <c r="D127" s="7" t="n"/>
      <c r="E127" s="9">
        <f>IF(D127="","",IFERROR(VLOOKUP(D127,'Trigger Library'!$B$4:$E$14,2,FALSE),""))</f>
        <v/>
      </c>
      <c r="F127" s="9">
        <f>IF(OR(D127="",H127="",I127=""),0,IFERROR(VLOOKUP(D127,'Trigger Library'!$B$4:$E$14,3,FALSE),0))</f>
        <v/>
      </c>
      <c r="G127" s="7" t="n"/>
      <c r="H127" s="7" t="n"/>
      <c r="I127" s="7" t="n"/>
      <c r="J127" s="9">
        <f>IF(I127="","",TODAY()-I127)</f>
        <v/>
      </c>
      <c r="K127" s="9">
        <f>IF(D127="","",IFERROR(VLOOKUP(D127,'Trigger Library'!$B$4:$E$14,4,FALSE),""))</f>
        <v/>
      </c>
      <c r="L127" s="9">
        <f>IF(OR(J127="",K127=""),"",IF(J127&lt;=K127,"Fresh","Expired"))</f>
        <v/>
      </c>
    </row>
    <row r="128">
      <c r="A128" s="7" t="n"/>
      <c r="B128" s="7" t="n"/>
      <c r="C128" s="7" t="n"/>
      <c r="D128" s="7" t="n"/>
      <c r="E128" s="9">
        <f>IF(D128="","",IFERROR(VLOOKUP(D128,'Trigger Library'!$B$4:$E$14,2,FALSE),""))</f>
        <v/>
      </c>
      <c r="F128" s="9">
        <f>IF(OR(D128="",H128="",I128=""),0,IFERROR(VLOOKUP(D128,'Trigger Library'!$B$4:$E$14,3,FALSE),0))</f>
        <v/>
      </c>
      <c r="G128" s="7" t="n"/>
      <c r="H128" s="7" t="n"/>
      <c r="I128" s="7" t="n"/>
      <c r="J128" s="9">
        <f>IF(I128="","",TODAY()-I128)</f>
        <v/>
      </c>
      <c r="K128" s="9">
        <f>IF(D128="","",IFERROR(VLOOKUP(D128,'Trigger Library'!$B$4:$E$14,4,FALSE),""))</f>
        <v/>
      </c>
      <c r="L128" s="9">
        <f>IF(OR(J128="",K128=""),"",IF(J128&lt;=K128,"Fresh","Expired"))</f>
        <v/>
      </c>
    </row>
    <row r="129">
      <c r="A129" s="7" t="n"/>
      <c r="B129" s="7" t="n"/>
      <c r="C129" s="7" t="n"/>
      <c r="D129" s="7" t="n"/>
      <c r="E129" s="9">
        <f>IF(D129="","",IFERROR(VLOOKUP(D129,'Trigger Library'!$B$4:$E$14,2,FALSE),""))</f>
        <v/>
      </c>
      <c r="F129" s="9">
        <f>IF(OR(D129="",H129="",I129=""),0,IFERROR(VLOOKUP(D129,'Trigger Library'!$B$4:$E$14,3,FALSE),0))</f>
        <v/>
      </c>
      <c r="G129" s="7" t="n"/>
      <c r="H129" s="7" t="n"/>
      <c r="I129" s="7" t="n"/>
      <c r="J129" s="9">
        <f>IF(I129="","",TODAY()-I129)</f>
        <v/>
      </c>
      <c r="K129" s="9">
        <f>IF(D129="","",IFERROR(VLOOKUP(D129,'Trigger Library'!$B$4:$E$14,4,FALSE),""))</f>
        <v/>
      </c>
      <c r="L129" s="9">
        <f>IF(OR(J129="",K129=""),"",IF(J129&lt;=K129,"Fresh","Expired"))</f>
        <v/>
      </c>
    </row>
    <row r="130">
      <c r="A130" s="7" t="n"/>
      <c r="B130" s="7" t="n"/>
      <c r="C130" s="7" t="n"/>
      <c r="D130" s="7" t="n"/>
      <c r="E130" s="9">
        <f>IF(D130="","",IFERROR(VLOOKUP(D130,'Trigger Library'!$B$4:$E$14,2,FALSE),""))</f>
        <v/>
      </c>
      <c r="F130" s="9">
        <f>IF(OR(D130="",H130="",I130=""),0,IFERROR(VLOOKUP(D130,'Trigger Library'!$B$4:$E$14,3,FALSE),0))</f>
        <v/>
      </c>
      <c r="G130" s="7" t="n"/>
      <c r="H130" s="7" t="n"/>
      <c r="I130" s="7" t="n"/>
      <c r="J130" s="9">
        <f>IF(I130="","",TODAY()-I130)</f>
        <v/>
      </c>
      <c r="K130" s="9">
        <f>IF(D130="","",IFERROR(VLOOKUP(D130,'Trigger Library'!$B$4:$E$14,4,FALSE),""))</f>
        <v/>
      </c>
      <c r="L130" s="9">
        <f>IF(OR(J130="",K130=""),"",IF(J130&lt;=K130,"Fresh","Expired"))</f>
        <v/>
      </c>
    </row>
    <row r="131">
      <c r="A131" s="7" t="n"/>
      <c r="B131" s="7" t="n"/>
      <c r="C131" s="7" t="n"/>
      <c r="D131" s="7" t="n"/>
      <c r="E131" s="9">
        <f>IF(D131="","",IFERROR(VLOOKUP(D131,'Trigger Library'!$B$4:$E$14,2,FALSE),""))</f>
        <v/>
      </c>
      <c r="F131" s="9">
        <f>IF(OR(D131="",H131="",I131=""),0,IFERROR(VLOOKUP(D131,'Trigger Library'!$B$4:$E$14,3,FALSE),0))</f>
        <v/>
      </c>
      <c r="G131" s="7" t="n"/>
      <c r="H131" s="7" t="n"/>
      <c r="I131" s="7" t="n"/>
      <c r="J131" s="9">
        <f>IF(I131="","",TODAY()-I131)</f>
        <v/>
      </c>
      <c r="K131" s="9">
        <f>IF(D131="","",IFERROR(VLOOKUP(D131,'Trigger Library'!$B$4:$E$14,4,FALSE),""))</f>
        <v/>
      </c>
      <c r="L131" s="9">
        <f>IF(OR(J131="",K131=""),"",IF(J131&lt;=K131,"Fresh","Expired"))</f>
        <v/>
      </c>
    </row>
    <row r="132">
      <c r="A132" s="7" t="n"/>
      <c r="B132" s="7" t="n"/>
      <c r="C132" s="7" t="n"/>
      <c r="D132" s="7" t="n"/>
      <c r="E132" s="9">
        <f>IF(D132="","",IFERROR(VLOOKUP(D132,'Trigger Library'!$B$4:$E$14,2,FALSE),""))</f>
        <v/>
      </c>
      <c r="F132" s="9">
        <f>IF(OR(D132="",H132="",I132=""),0,IFERROR(VLOOKUP(D132,'Trigger Library'!$B$4:$E$14,3,FALSE),0))</f>
        <v/>
      </c>
      <c r="G132" s="7" t="n"/>
      <c r="H132" s="7" t="n"/>
      <c r="I132" s="7" t="n"/>
      <c r="J132" s="9">
        <f>IF(I132="","",TODAY()-I132)</f>
        <v/>
      </c>
      <c r="K132" s="9">
        <f>IF(D132="","",IFERROR(VLOOKUP(D132,'Trigger Library'!$B$4:$E$14,4,FALSE),""))</f>
        <v/>
      </c>
      <c r="L132" s="9">
        <f>IF(OR(J132="",K132=""),"",IF(J132&lt;=K132,"Fresh","Expired"))</f>
        <v/>
      </c>
    </row>
    <row r="133">
      <c r="A133" s="7" t="n"/>
      <c r="B133" s="7" t="n"/>
      <c r="C133" s="7" t="n"/>
      <c r="D133" s="7" t="n"/>
      <c r="E133" s="9">
        <f>IF(D133="","",IFERROR(VLOOKUP(D133,'Trigger Library'!$B$4:$E$14,2,FALSE),""))</f>
        <v/>
      </c>
      <c r="F133" s="9">
        <f>IF(OR(D133="",H133="",I133=""),0,IFERROR(VLOOKUP(D133,'Trigger Library'!$B$4:$E$14,3,FALSE),0))</f>
        <v/>
      </c>
      <c r="G133" s="7" t="n"/>
      <c r="H133" s="7" t="n"/>
      <c r="I133" s="7" t="n"/>
      <c r="J133" s="9">
        <f>IF(I133="","",TODAY()-I133)</f>
        <v/>
      </c>
      <c r="K133" s="9">
        <f>IF(D133="","",IFERROR(VLOOKUP(D133,'Trigger Library'!$B$4:$E$14,4,FALSE),""))</f>
        <v/>
      </c>
      <c r="L133" s="9">
        <f>IF(OR(J133="",K133=""),"",IF(J133&lt;=K133,"Fresh","Expired"))</f>
        <v/>
      </c>
    </row>
    <row r="134">
      <c r="A134" s="7" t="n"/>
      <c r="B134" s="7" t="n"/>
      <c r="C134" s="7" t="n"/>
      <c r="D134" s="7" t="n"/>
      <c r="E134" s="9">
        <f>IF(D134="","",IFERROR(VLOOKUP(D134,'Trigger Library'!$B$4:$E$14,2,FALSE),""))</f>
        <v/>
      </c>
      <c r="F134" s="9">
        <f>IF(OR(D134="",H134="",I134=""),0,IFERROR(VLOOKUP(D134,'Trigger Library'!$B$4:$E$14,3,FALSE),0))</f>
        <v/>
      </c>
      <c r="G134" s="7" t="n"/>
      <c r="H134" s="7" t="n"/>
      <c r="I134" s="7" t="n"/>
      <c r="J134" s="9">
        <f>IF(I134="","",TODAY()-I134)</f>
        <v/>
      </c>
      <c r="K134" s="9">
        <f>IF(D134="","",IFERROR(VLOOKUP(D134,'Trigger Library'!$B$4:$E$14,4,FALSE),""))</f>
        <v/>
      </c>
      <c r="L134" s="9">
        <f>IF(OR(J134="",K134=""),"",IF(J134&lt;=K134,"Fresh","Expired"))</f>
        <v/>
      </c>
    </row>
    <row r="135">
      <c r="A135" s="7" t="n"/>
      <c r="B135" s="7" t="n"/>
      <c r="C135" s="7" t="n"/>
      <c r="D135" s="7" t="n"/>
      <c r="E135" s="9">
        <f>IF(D135="","",IFERROR(VLOOKUP(D135,'Trigger Library'!$B$4:$E$14,2,FALSE),""))</f>
        <v/>
      </c>
      <c r="F135" s="9">
        <f>IF(OR(D135="",H135="",I135=""),0,IFERROR(VLOOKUP(D135,'Trigger Library'!$B$4:$E$14,3,FALSE),0))</f>
        <v/>
      </c>
      <c r="G135" s="7" t="n"/>
      <c r="H135" s="7" t="n"/>
      <c r="I135" s="7" t="n"/>
      <c r="J135" s="9">
        <f>IF(I135="","",TODAY()-I135)</f>
        <v/>
      </c>
      <c r="K135" s="9">
        <f>IF(D135="","",IFERROR(VLOOKUP(D135,'Trigger Library'!$B$4:$E$14,4,FALSE),""))</f>
        <v/>
      </c>
      <c r="L135" s="9">
        <f>IF(OR(J135="",K135=""),"",IF(J135&lt;=K135,"Fresh","Expired"))</f>
        <v/>
      </c>
    </row>
    <row r="136">
      <c r="A136" s="7" t="n"/>
      <c r="B136" s="7" t="n"/>
      <c r="C136" s="7" t="n"/>
      <c r="D136" s="7" t="n"/>
      <c r="E136" s="9">
        <f>IF(D136="","",IFERROR(VLOOKUP(D136,'Trigger Library'!$B$4:$E$14,2,FALSE),""))</f>
        <v/>
      </c>
      <c r="F136" s="9">
        <f>IF(OR(D136="",H136="",I136=""),0,IFERROR(VLOOKUP(D136,'Trigger Library'!$B$4:$E$14,3,FALSE),0))</f>
        <v/>
      </c>
      <c r="G136" s="7" t="n"/>
      <c r="H136" s="7" t="n"/>
      <c r="I136" s="7" t="n"/>
      <c r="J136" s="9">
        <f>IF(I136="","",TODAY()-I136)</f>
        <v/>
      </c>
      <c r="K136" s="9">
        <f>IF(D136="","",IFERROR(VLOOKUP(D136,'Trigger Library'!$B$4:$E$14,4,FALSE),""))</f>
        <v/>
      </c>
      <c r="L136" s="9">
        <f>IF(OR(J136="",K136=""),"",IF(J136&lt;=K136,"Fresh","Expired"))</f>
        <v/>
      </c>
    </row>
    <row r="137">
      <c r="A137" s="7" t="n"/>
      <c r="B137" s="7" t="n"/>
      <c r="C137" s="7" t="n"/>
      <c r="D137" s="7" t="n"/>
      <c r="E137" s="9">
        <f>IF(D137="","",IFERROR(VLOOKUP(D137,'Trigger Library'!$B$4:$E$14,2,FALSE),""))</f>
        <v/>
      </c>
      <c r="F137" s="9">
        <f>IF(OR(D137="",H137="",I137=""),0,IFERROR(VLOOKUP(D137,'Trigger Library'!$B$4:$E$14,3,FALSE),0))</f>
        <v/>
      </c>
      <c r="G137" s="7" t="n"/>
      <c r="H137" s="7" t="n"/>
      <c r="I137" s="7" t="n"/>
      <c r="J137" s="9">
        <f>IF(I137="","",TODAY()-I137)</f>
        <v/>
      </c>
      <c r="K137" s="9">
        <f>IF(D137="","",IFERROR(VLOOKUP(D137,'Trigger Library'!$B$4:$E$14,4,FALSE),""))</f>
        <v/>
      </c>
      <c r="L137" s="9">
        <f>IF(OR(J137="",K137=""),"",IF(J137&lt;=K137,"Fresh","Expired"))</f>
        <v/>
      </c>
    </row>
    <row r="138">
      <c r="A138" s="7" t="n"/>
      <c r="B138" s="7" t="n"/>
      <c r="C138" s="7" t="n"/>
      <c r="D138" s="7" t="n"/>
      <c r="E138" s="9">
        <f>IF(D138="","",IFERROR(VLOOKUP(D138,'Trigger Library'!$B$4:$E$14,2,FALSE),""))</f>
        <v/>
      </c>
      <c r="F138" s="9">
        <f>IF(OR(D138="",H138="",I138=""),0,IFERROR(VLOOKUP(D138,'Trigger Library'!$B$4:$E$14,3,FALSE),0))</f>
        <v/>
      </c>
      <c r="G138" s="7" t="n"/>
      <c r="H138" s="7" t="n"/>
      <c r="I138" s="7" t="n"/>
      <c r="J138" s="9">
        <f>IF(I138="","",TODAY()-I138)</f>
        <v/>
      </c>
      <c r="K138" s="9">
        <f>IF(D138="","",IFERROR(VLOOKUP(D138,'Trigger Library'!$B$4:$E$14,4,FALSE),""))</f>
        <v/>
      </c>
      <c r="L138" s="9">
        <f>IF(OR(J138="",K138=""),"",IF(J138&lt;=K138,"Fresh","Expired"))</f>
        <v/>
      </c>
    </row>
    <row r="139">
      <c r="A139" s="7" t="n"/>
      <c r="B139" s="7" t="n"/>
      <c r="C139" s="7" t="n"/>
      <c r="D139" s="7" t="n"/>
      <c r="E139" s="9">
        <f>IF(D139="","",IFERROR(VLOOKUP(D139,'Trigger Library'!$B$4:$E$14,2,FALSE),""))</f>
        <v/>
      </c>
      <c r="F139" s="9">
        <f>IF(OR(D139="",H139="",I139=""),0,IFERROR(VLOOKUP(D139,'Trigger Library'!$B$4:$E$14,3,FALSE),0))</f>
        <v/>
      </c>
      <c r="G139" s="7" t="n"/>
      <c r="H139" s="7" t="n"/>
      <c r="I139" s="7" t="n"/>
      <c r="J139" s="9">
        <f>IF(I139="","",TODAY()-I139)</f>
        <v/>
      </c>
      <c r="K139" s="9">
        <f>IF(D139="","",IFERROR(VLOOKUP(D139,'Trigger Library'!$B$4:$E$14,4,FALSE),""))</f>
        <v/>
      </c>
      <c r="L139" s="9">
        <f>IF(OR(J139="",K139=""),"",IF(J139&lt;=K139,"Fresh","Expired"))</f>
        <v/>
      </c>
    </row>
    <row r="140">
      <c r="A140" s="7" t="n"/>
      <c r="B140" s="7" t="n"/>
      <c r="C140" s="7" t="n"/>
      <c r="D140" s="7" t="n"/>
      <c r="E140" s="9">
        <f>IF(D140="","",IFERROR(VLOOKUP(D140,'Trigger Library'!$B$4:$E$14,2,FALSE),""))</f>
        <v/>
      </c>
      <c r="F140" s="9">
        <f>IF(OR(D140="",H140="",I140=""),0,IFERROR(VLOOKUP(D140,'Trigger Library'!$B$4:$E$14,3,FALSE),0))</f>
        <v/>
      </c>
      <c r="G140" s="7" t="n"/>
      <c r="H140" s="7" t="n"/>
      <c r="I140" s="7" t="n"/>
      <c r="J140" s="9">
        <f>IF(I140="","",TODAY()-I140)</f>
        <v/>
      </c>
      <c r="K140" s="9">
        <f>IF(D140="","",IFERROR(VLOOKUP(D140,'Trigger Library'!$B$4:$E$14,4,FALSE),""))</f>
        <v/>
      </c>
      <c r="L140" s="9">
        <f>IF(OR(J140="",K140=""),"",IF(J140&lt;=K140,"Fresh","Expired"))</f>
        <v/>
      </c>
    </row>
    <row r="141">
      <c r="A141" s="7" t="n"/>
      <c r="B141" s="7" t="n"/>
      <c r="C141" s="7" t="n"/>
      <c r="D141" s="7" t="n"/>
      <c r="E141" s="9">
        <f>IF(D141="","",IFERROR(VLOOKUP(D141,'Trigger Library'!$B$4:$E$14,2,FALSE),""))</f>
        <v/>
      </c>
      <c r="F141" s="9">
        <f>IF(OR(D141="",H141="",I141=""),0,IFERROR(VLOOKUP(D141,'Trigger Library'!$B$4:$E$14,3,FALSE),0))</f>
        <v/>
      </c>
      <c r="G141" s="7" t="n"/>
      <c r="H141" s="7" t="n"/>
      <c r="I141" s="7" t="n"/>
      <c r="J141" s="9">
        <f>IF(I141="","",TODAY()-I141)</f>
        <v/>
      </c>
      <c r="K141" s="9">
        <f>IF(D141="","",IFERROR(VLOOKUP(D141,'Trigger Library'!$B$4:$E$14,4,FALSE),""))</f>
        <v/>
      </c>
      <c r="L141" s="9">
        <f>IF(OR(J141="",K141=""),"",IF(J141&lt;=K141,"Fresh","Expired"))</f>
        <v/>
      </c>
    </row>
    <row r="142">
      <c r="A142" s="7" t="n"/>
      <c r="B142" s="7" t="n"/>
      <c r="C142" s="7" t="n"/>
      <c r="D142" s="7" t="n"/>
      <c r="E142" s="9">
        <f>IF(D142="","",IFERROR(VLOOKUP(D142,'Trigger Library'!$B$4:$E$14,2,FALSE),""))</f>
        <v/>
      </c>
      <c r="F142" s="9">
        <f>IF(OR(D142="",H142="",I142=""),0,IFERROR(VLOOKUP(D142,'Trigger Library'!$B$4:$E$14,3,FALSE),0))</f>
        <v/>
      </c>
      <c r="G142" s="7" t="n"/>
      <c r="H142" s="7" t="n"/>
      <c r="I142" s="7" t="n"/>
      <c r="J142" s="9">
        <f>IF(I142="","",TODAY()-I142)</f>
        <v/>
      </c>
      <c r="K142" s="9">
        <f>IF(D142="","",IFERROR(VLOOKUP(D142,'Trigger Library'!$B$4:$E$14,4,FALSE),""))</f>
        <v/>
      </c>
      <c r="L142" s="9">
        <f>IF(OR(J142="",K142=""),"",IF(J142&lt;=K142,"Fresh","Expired"))</f>
        <v/>
      </c>
    </row>
    <row r="143">
      <c r="A143" s="7" t="n"/>
      <c r="B143" s="7" t="n"/>
      <c r="C143" s="7" t="n"/>
      <c r="D143" s="7" t="n"/>
      <c r="E143" s="9">
        <f>IF(D143="","",IFERROR(VLOOKUP(D143,'Trigger Library'!$B$4:$E$14,2,FALSE),""))</f>
        <v/>
      </c>
      <c r="F143" s="9">
        <f>IF(OR(D143="",H143="",I143=""),0,IFERROR(VLOOKUP(D143,'Trigger Library'!$B$4:$E$14,3,FALSE),0))</f>
        <v/>
      </c>
      <c r="G143" s="7" t="n"/>
      <c r="H143" s="7" t="n"/>
      <c r="I143" s="7" t="n"/>
      <c r="J143" s="9">
        <f>IF(I143="","",TODAY()-I143)</f>
        <v/>
      </c>
      <c r="K143" s="9">
        <f>IF(D143="","",IFERROR(VLOOKUP(D143,'Trigger Library'!$B$4:$E$14,4,FALSE),""))</f>
        <v/>
      </c>
      <c r="L143" s="9">
        <f>IF(OR(J143="",K143=""),"",IF(J143&lt;=K143,"Fresh","Expired"))</f>
        <v/>
      </c>
    </row>
    <row r="144">
      <c r="A144" s="7" t="n"/>
      <c r="B144" s="7" t="n"/>
      <c r="C144" s="7" t="n"/>
      <c r="D144" s="7" t="n"/>
      <c r="E144" s="9">
        <f>IF(D144="","",IFERROR(VLOOKUP(D144,'Trigger Library'!$B$4:$E$14,2,FALSE),""))</f>
        <v/>
      </c>
      <c r="F144" s="9">
        <f>IF(OR(D144="",H144="",I144=""),0,IFERROR(VLOOKUP(D144,'Trigger Library'!$B$4:$E$14,3,FALSE),0))</f>
        <v/>
      </c>
      <c r="G144" s="7" t="n"/>
      <c r="H144" s="7" t="n"/>
      <c r="I144" s="7" t="n"/>
      <c r="J144" s="9">
        <f>IF(I144="","",TODAY()-I144)</f>
        <v/>
      </c>
      <c r="K144" s="9">
        <f>IF(D144="","",IFERROR(VLOOKUP(D144,'Trigger Library'!$B$4:$E$14,4,FALSE),""))</f>
        <v/>
      </c>
      <c r="L144" s="9">
        <f>IF(OR(J144="",K144=""),"",IF(J144&lt;=K144,"Fresh","Expired"))</f>
        <v/>
      </c>
    </row>
    <row r="145">
      <c r="A145" s="7" t="n"/>
      <c r="B145" s="7" t="n"/>
      <c r="C145" s="7" t="n"/>
      <c r="D145" s="7" t="n"/>
      <c r="E145" s="9">
        <f>IF(D145="","",IFERROR(VLOOKUP(D145,'Trigger Library'!$B$4:$E$14,2,FALSE),""))</f>
        <v/>
      </c>
      <c r="F145" s="9">
        <f>IF(OR(D145="",H145="",I145=""),0,IFERROR(VLOOKUP(D145,'Trigger Library'!$B$4:$E$14,3,FALSE),0))</f>
        <v/>
      </c>
      <c r="G145" s="7" t="n"/>
      <c r="H145" s="7" t="n"/>
      <c r="I145" s="7" t="n"/>
      <c r="J145" s="9">
        <f>IF(I145="","",TODAY()-I145)</f>
        <v/>
      </c>
      <c r="K145" s="9">
        <f>IF(D145="","",IFERROR(VLOOKUP(D145,'Trigger Library'!$B$4:$E$14,4,FALSE),""))</f>
        <v/>
      </c>
      <c r="L145" s="9">
        <f>IF(OR(J145="",K145=""),"",IF(J145&lt;=K145,"Fresh","Expired"))</f>
        <v/>
      </c>
    </row>
    <row r="146">
      <c r="A146" s="7" t="n"/>
      <c r="B146" s="7" t="n"/>
      <c r="C146" s="7" t="n"/>
      <c r="D146" s="7" t="n"/>
      <c r="E146" s="9">
        <f>IF(D146="","",IFERROR(VLOOKUP(D146,'Trigger Library'!$B$4:$E$14,2,FALSE),""))</f>
        <v/>
      </c>
      <c r="F146" s="9">
        <f>IF(OR(D146="",H146="",I146=""),0,IFERROR(VLOOKUP(D146,'Trigger Library'!$B$4:$E$14,3,FALSE),0))</f>
        <v/>
      </c>
      <c r="G146" s="7" t="n"/>
      <c r="H146" s="7" t="n"/>
      <c r="I146" s="7" t="n"/>
      <c r="J146" s="9">
        <f>IF(I146="","",TODAY()-I146)</f>
        <v/>
      </c>
      <c r="K146" s="9">
        <f>IF(D146="","",IFERROR(VLOOKUP(D146,'Trigger Library'!$B$4:$E$14,4,FALSE),""))</f>
        <v/>
      </c>
      <c r="L146" s="9">
        <f>IF(OR(J146="",K146=""),"",IF(J146&lt;=K146,"Fresh","Expired"))</f>
        <v/>
      </c>
    </row>
    <row r="147">
      <c r="A147" s="7" t="n"/>
      <c r="B147" s="7" t="n"/>
      <c r="C147" s="7" t="n"/>
      <c r="D147" s="7" t="n"/>
      <c r="E147" s="9">
        <f>IF(D147="","",IFERROR(VLOOKUP(D147,'Trigger Library'!$B$4:$E$14,2,FALSE),""))</f>
        <v/>
      </c>
      <c r="F147" s="9">
        <f>IF(OR(D147="",H147="",I147=""),0,IFERROR(VLOOKUP(D147,'Trigger Library'!$B$4:$E$14,3,FALSE),0))</f>
        <v/>
      </c>
      <c r="G147" s="7" t="n"/>
      <c r="H147" s="7" t="n"/>
      <c r="I147" s="7" t="n"/>
      <c r="J147" s="9">
        <f>IF(I147="","",TODAY()-I147)</f>
        <v/>
      </c>
      <c r="K147" s="9">
        <f>IF(D147="","",IFERROR(VLOOKUP(D147,'Trigger Library'!$B$4:$E$14,4,FALSE),""))</f>
        <v/>
      </c>
      <c r="L147" s="9">
        <f>IF(OR(J147="",K147=""),"",IF(J147&lt;=K147,"Fresh","Expired"))</f>
        <v/>
      </c>
    </row>
    <row r="148">
      <c r="A148" s="7" t="n"/>
      <c r="B148" s="7" t="n"/>
      <c r="C148" s="7" t="n"/>
      <c r="D148" s="7" t="n"/>
      <c r="E148" s="9">
        <f>IF(D148="","",IFERROR(VLOOKUP(D148,'Trigger Library'!$B$4:$E$14,2,FALSE),""))</f>
        <v/>
      </c>
      <c r="F148" s="9">
        <f>IF(OR(D148="",H148="",I148=""),0,IFERROR(VLOOKUP(D148,'Trigger Library'!$B$4:$E$14,3,FALSE),0))</f>
        <v/>
      </c>
      <c r="G148" s="7" t="n"/>
      <c r="H148" s="7" t="n"/>
      <c r="I148" s="7" t="n"/>
      <c r="J148" s="9">
        <f>IF(I148="","",TODAY()-I148)</f>
        <v/>
      </c>
      <c r="K148" s="9">
        <f>IF(D148="","",IFERROR(VLOOKUP(D148,'Trigger Library'!$B$4:$E$14,4,FALSE),""))</f>
        <v/>
      </c>
      <c r="L148" s="9">
        <f>IF(OR(J148="",K148=""),"",IF(J148&lt;=K148,"Fresh","Expired"))</f>
        <v/>
      </c>
    </row>
    <row r="149">
      <c r="A149" s="7" t="n"/>
      <c r="B149" s="7" t="n"/>
      <c r="C149" s="7" t="n"/>
      <c r="D149" s="7" t="n"/>
      <c r="E149" s="9">
        <f>IF(D149="","",IFERROR(VLOOKUP(D149,'Trigger Library'!$B$4:$E$14,2,FALSE),""))</f>
        <v/>
      </c>
      <c r="F149" s="9">
        <f>IF(OR(D149="",H149="",I149=""),0,IFERROR(VLOOKUP(D149,'Trigger Library'!$B$4:$E$14,3,FALSE),0))</f>
        <v/>
      </c>
      <c r="G149" s="7" t="n"/>
      <c r="H149" s="7" t="n"/>
      <c r="I149" s="7" t="n"/>
      <c r="J149" s="9">
        <f>IF(I149="","",TODAY()-I149)</f>
        <v/>
      </c>
      <c r="K149" s="9">
        <f>IF(D149="","",IFERROR(VLOOKUP(D149,'Trigger Library'!$B$4:$E$14,4,FALSE),""))</f>
        <v/>
      </c>
      <c r="L149" s="9">
        <f>IF(OR(J149="",K149=""),"",IF(J149&lt;=K149,"Fresh","Expired"))</f>
        <v/>
      </c>
    </row>
    <row r="150">
      <c r="A150" s="7" t="n"/>
      <c r="B150" s="7" t="n"/>
      <c r="C150" s="7" t="n"/>
      <c r="D150" s="7" t="n"/>
      <c r="E150" s="9">
        <f>IF(D150="","",IFERROR(VLOOKUP(D150,'Trigger Library'!$B$4:$E$14,2,FALSE),""))</f>
        <v/>
      </c>
      <c r="F150" s="9">
        <f>IF(OR(D150="",H150="",I150=""),0,IFERROR(VLOOKUP(D150,'Trigger Library'!$B$4:$E$14,3,FALSE),0))</f>
        <v/>
      </c>
      <c r="G150" s="7" t="n"/>
      <c r="H150" s="7" t="n"/>
      <c r="I150" s="7" t="n"/>
      <c r="J150" s="9">
        <f>IF(I150="","",TODAY()-I150)</f>
        <v/>
      </c>
      <c r="K150" s="9">
        <f>IF(D150="","",IFERROR(VLOOKUP(D150,'Trigger Library'!$B$4:$E$14,4,FALSE),""))</f>
        <v/>
      </c>
      <c r="L150" s="9">
        <f>IF(OR(J150="",K150=""),"",IF(J150&lt;=K150,"Fresh","Expired"))</f>
        <v/>
      </c>
    </row>
    <row r="151">
      <c r="A151" s="7" t="n"/>
      <c r="B151" s="7" t="n"/>
      <c r="C151" s="7" t="n"/>
      <c r="D151" s="7" t="n"/>
      <c r="E151" s="9">
        <f>IF(D151="","",IFERROR(VLOOKUP(D151,'Trigger Library'!$B$4:$E$14,2,FALSE),""))</f>
        <v/>
      </c>
      <c r="F151" s="9">
        <f>IF(OR(D151="",H151="",I151=""),0,IFERROR(VLOOKUP(D151,'Trigger Library'!$B$4:$E$14,3,FALSE),0))</f>
        <v/>
      </c>
      <c r="G151" s="7" t="n"/>
      <c r="H151" s="7" t="n"/>
      <c r="I151" s="7" t="n"/>
      <c r="J151" s="9">
        <f>IF(I151="","",TODAY()-I151)</f>
        <v/>
      </c>
      <c r="K151" s="9">
        <f>IF(D151="","",IFERROR(VLOOKUP(D151,'Trigger Library'!$B$4:$E$14,4,FALSE),""))</f>
        <v/>
      </c>
      <c r="L151" s="9">
        <f>IF(OR(J151="",K151=""),"",IF(J151&lt;=K151,"Fresh","Expired"))</f>
        <v/>
      </c>
    </row>
    <row r="152">
      <c r="A152" s="7" t="n"/>
      <c r="B152" s="7" t="n"/>
      <c r="C152" s="7" t="n"/>
      <c r="D152" s="7" t="n"/>
      <c r="E152" s="9">
        <f>IF(D152="","",IFERROR(VLOOKUP(D152,'Trigger Library'!$B$4:$E$14,2,FALSE),""))</f>
        <v/>
      </c>
      <c r="F152" s="9">
        <f>IF(OR(D152="",H152="",I152=""),0,IFERROR(VLOOKUP(D152,'Trigger Library'!$B$4:$E$14,3,FALSE),0))</f>
        <v/>
      </c>
      <c r="G152" s="7" t="n"/>
      <c r="H152" s="7" t="n"/>
      <c r="I152" s="7" t="n"/>
      <c r="J152" s="9">
        <f>IF(I152="","",TODAY()-I152)</f>
        <v/>
      </c>
      <c r="K152" s="9">
        <f>IF(D152="","",IFERROR(VLOOKUP(D152,'Trigger Library'!$B$4:$E$14,4,FALSE),""))</f>
        <v/>
      </c>
      <c r="L152" s="9">
        <f>IF(OR(J152="",K152=""),"",IF(J152&lt;=K152,"Fresh","Expired"))</f>
        <v/>
      </c>
    </row>
    <row r="153">
      <c r="A153" s="7" t="n"/>
      <c r="B153" s="7" t="n"/>
      <c r="C153" s="7" t="n"/>
      <c r="D153" s="7" t="n"/>
      <c r="E153" s="9">
        <f>IF(D153="","",IFERROR(VLOOKUP(D153,'Trigger Library'!$B$4:$E$14,2,FALSE),""))</f>
        <v/>
      </c>
      <c r="F153" s="9">
        <f>IF(OR(D153="",H153="",I153=""),0,IFERROR(VLOOKUP(D153,'Trigger Library'!$B$4:$E$14,3,FALSE),0))</f>
        <v/>
      </c>
      <c r="G153" s="7" t="n"/>
      <c r="H153" s="7" t="n"/>
      <c r="I153" s="7" t="n"/>
      <c r="J153" s="9">
        <f>IF(I153="","",TODAY()-I153)</f>
        <v/>
      </c>
      <c r="K153" s="9">
        <f>IF(D153="","",IFERROR(VLOOKUP(D153,'Trigger Library'!$B$4:$E$14,4,FALSE),""))</f>
        <v/>
      </c>
      <c r="L153" s="9">
        <f>IF(OR(J153="",K153=""),"",IF(J153&lt;=K153,"Fresh","Expired"))</f>
        <v/>
      </c>
    </row>
    <row r="154">
      <c r="A154" s="7" t="n"/>
      <c r="B154" s="7" t="n"/>
      <c r="C154" s="7" t="n"/>
      <c r="D154" s="7" t="n"/>
      <c r="E154" s="9">
        <f>IF(D154="","",IFERROR(VLOOKUP(D154,'Trigger Library'!$B$4:$E$14,2,FALSE),""))</f>
        <v/>
      </c>
      <c r="F154" s="9">
        <f>IF(OR(D154="",H154="",I154=""),0,IFERROR(VLOOKUP(D154,'Trigger Library'!$B$4:$E$14,3,FALSE),0))</f>
        <v/>
      </c>
      <c r="G154" s="7" t="n"/>
      <c r="H154" s="7" t="n"/>
      <c r="I154" s="7" t="n"/>
      <c r="J154" s="9">
        <f>IF(I154="","",TODAY()-I154)</f>
        <v/>
      </c>
      <c r="K154" s="9">
        <f>IF(D154="","",IFERROR(VLOOKUP(D154,'Trigger Library'!$B$4:$E$14,4,FALSE),""))</f>
        <v/>
      </c>
      <c r="L154" s="9">
        <f>IF(OR(J154="",K154=""),"",IF(J154&lt;=K154,"Fresh","Expired"))</f>
        <v/>
      </c>
    </row>
    <row r="155">
      <c r="A155" s="7" t="n"/>
      <c r="B155" s="7" t="n"/>
      <c r="C155" s="7" t="n"/>
      <c r="D155" s="7" t="n"/>
      <c r="E155" s="9">
        <f>IF(D155="","",IFERROR(VLOOKUP(D155,'Trigger Library'!$B$4:$E$14,2,FALSE),""))</f>
        <v/>
      </c>
      <c r="F155" s="9">
        <f>IF(OR(D155="",H155="",I155=""),0,IFERROR(VLOOKUP(D155,'Trigger Library'!$B$4:$E$14,3,FALSE),0))</f>
        <v/>
      </c>
      <c r="G155" s="7" t="n"/>
      <c r="H155" s="7" t="n"/>
      <c r="I155" s="7" t="n"/>
      <c r="J155" s="9">
        <f>IF(I155="","",TODAY()-I155)</f>
        <v/>
      </c>
      <c r="K155" s="9">
        <f>IF(D155="","",IFERROR(VLOOKUP(D155,'Trigger Library'!$B$4:$E$14,4,FALSE),""))</f>
        <v/>
      </c>
      <c r="L155" s="9">
        <f>IF(OR(J155="",K155=""),"",IF(J155&lt;=K155,"Fresh","Expired"))</f>
        <v/>
      </c>
    </row>
    <row r="156">
      <c r="A156" s="7" t="n"/>
      <c r="B156" s="7" t="n"/>
      <c r="C156" s="7" t="n"/>
      <c r="D156" s="7" t="n"/>
      <c r="E156" s="9">
        <f>IF(D156="","",IFERROR(VLOOKUP(D156,'Trigger Library'!$B$4:$E$14,2,FALSE),""))</f>
        <v/>
      </c>
      <c r="F156" s="9">
        <f>IF(OR(D156="",H156="",I156=""),0,IFERROR(VLOOKUP(D156,'Trigger Library'!$B$4:$E$14,3,FALSE),0))</f>
        <v/>
      </c>
      <c r="G156" s="7" t="n"/>
      <c r="H156" s="7" t="n"/>
      <c r="I156" s="7" t="n"/>
      <c r="J156" s="9">
        <f>IF(I156="","",TODAY()-I156)</f>
        <v/>
      </c>
      <c r="K156" s="9">
        <f>IF(D156="","",IFERROR(VLOOKUP(D156,'Trigger Library'!$B$4:$E$14,4,FALSE),""))</f>
        <v/>
      </c>
      <c r="L156" s="9">
        <f>IF(OR(J156="",K156=""),"",IF(J156&lt;=K156,"Fresh","Expired"))</f>
        <v/>
      </c>
    </row>
    <row r="157">
      <c r="A157" s="7" t="n"/>
      <c r="B157" s="7" t="n"/>
      <c r="C157" s="7" t="n"/>
      <c r="D157" s="7" t="n"/>
      <c r="E157" s="9">
        <f>IF(D157="","",IFERROR(VLOOKUP(D157,'Trigger Library'!$B$4:$E$14,2,FALSE),""))</f>
        <v/>
      </c>
      <c r="F157" s="9">
        <f>IF(OR(D157="",H157="",I157=""),0,IFERROR(VLOOKUP(D157,'Trigger Library'!$B$4:$E$14,3,FALSE),0))</f>
        <v/>
      </c>
      <c r="G157" s="7" t="n"/>
      <c r="H157" s="7" t="n"/>
      <c r="I157" s="7" t="n"/>
      <c r="J157" s="9">
        <f>IF(I157="","",TODAY()-I157)</f>
        <v/>
      </c>
      <c r="K157" s="9">
        <f>IF(D157="","",IFERROR(VLOOKUP(D157,'Trigger Library'!$B$4:$E$14,4,FALSE),""))</f>
        <v/>
      </c>
      <c r="L157" s="9">
        <f>IF(OR(J157="",K157=""),"",IF(J157&lt;=K157,"Fresh","Expired"))</f>
        <v/>
      </c>
    </row>
    <row r="158">
      <c r="A158" s="7" t="n"/>
      <c r="B158" s="7" t="n"/>
      <c r="C158" s="7" t="n"/>
      <c r="D158" s="7" t="n"/>
      <c r="E158" s="9">
        <f>IF(D158="","",IFERROR(VLOOKUP(D158,'Trigger Library'!$B$4:$E$14,2,FALSE),""))</f>
        <v/>
      </c>
      <c r="F158" s="9">
        <f>IF(OR(D158="",H158="",I158=""),0,IFERROR(VLOOKUP(D158,'Trigger Library'!$B$4:$E$14,3,FALSE),0))</f>
        <v/>
      </c>
      <c r="G158" s="7" t="n"/>
      <c r="H158" s="7" t="n"/>
      <c r="I158" s="7" t="n"/>
      <c r="J158" s="9">
        <f>IF(I158="","",TODAY()-I158)</f>
        <v/>
      </c>
      <c r="K158" s="9">
        <f>IF(D158="","",IFERROR(VLOOKUP(D158,'Trigger Library'!$B$4:$E$14,4,FALSE),""))</f>
        <v/>
      </c>
      <c r="L158" s="9">
        <f>IF(OR(J158="",K158=""),"",IF(J158&lt;=K158,"Fresh","Expired"))</f>
        <v/>
      </c>
    </row>
    <row r="159">
      <c r="A159" s="7" t="n"/>
      <c r="B159" s="7" t="n"/>
      <c r="C159" s="7" t="n"/>
      <c r="D159" s="7" t="n"/>
      <c r="E159" s="9">
        <f>IF(D159="","",IFERROR(VLOOKUP(D159,'Trigger Library'!$B$4:$E$14,2,FALSE),""))</f>
        <v/>
      </c>
      <c r="F159" s="9">
        <f>IF(OR(D159="",H159="",I159=""),0,IFERROR(VLOOKUP(D159,'Trigger Library'!$B$4:$E$14,3,FALSE),0))</f>
        <v/>
      </c>
      <c r="G159" s="7" t="n"/>
      <c r="H159" s="7" t="n"/>
      <c r="I159" s="7" t="n"/>
      <c r="J159" s="9">
        <f>IF(I159="","",TODAY()-I159)</f>
        <v/>
      </c>
      <c r="K159" s="9">
        <f>IF(D159="","",IFERROR(VLOOKUP(D159,'Trigger Library'!$B$4:$E$14,4,FALSE),""))</f>
        <v/>
      </c>
      <c r="L159" s="9">
        <f>IF(OR(J159="",K159=""),"",IF(J159&lt;=K159,"Fresh","Expired"))</f>
        <v/>
      </c>
    </row>
    <row r="160">
      <c r="A160" s="7" t="n"/>
      <c r="B160" s="7" t="n"/>
      <c r="C160" s="7" t="n"/>
      <c r="D160" s="7" t="n"/>
      <c r="E160" s="9">
        <f>IF(D160="","",IFERROR(VLOOKUP(D160,'Trigger Library'!$B$4:$E$14,2,FALSE),""))</f>
        <v/>
      </c>
      <c r="F160" s="9">
        <f>IF(OR(D160="",H160="",I160=""),0,IFERROR(VLOOKUP(D160,'Trigger Library'!$B$4:$E$14,3,FALSE),0))</f>
        <v/>
      </c>
      <c r="G160" s="7" t="n"/>
      <c r="H160" s="7" t="n"/>
      <c r="I160" s="7" t="n"/>
      <c r="J160" s="9">
        <f>IF(I160="","",TODAY()-I160)</f>
        <v/>
      </c>
      <c r="K160" s="9">
        <f>IF(D160="","",IFERROR(VLOOKUP(D160,'Trigger Library'!$B$4:$E$14,4,FALSE),""))</f>
        <v/>
      </c>
      <c r="L160" s="9">
        <f>IF(OR(J160="",K160=""),"",IF(J160&lt;=K160,"Fresh","Expired"))</f>
        <v/>
      </c>
    </row>
    <row r="161">
      <c r="A161" s="7" t="n"/>
      <c r="B161" s="7" t="n"/>
      <c r="C161" s="7" t="n"/>
      <c r="D161" s="7" t="n"/>
      <c r="E161" s="9">
        <f>IF(D161="","",IFERROR(VLOOKUP(D161,'Trigger Library'!$B$4:$E$14,2,FALSE),""))</f>
        <v/>
      </c>
      <c r="F161" s="9">
        <f>IF(OR(D161="",H161="",I161=""),0,IFERROR(VLOOKUP(D161,'Trigger Library'!$B$4:$E$14,3,FALSE),0))</f>
        <v/>
      </c>
      <c r="G161" s="7" t="n"/>
      <c r="H161" s="7" t="n"/>
      <c r="I161" s="7" t="n"/>
      <c r="J161" s="9">
        <f>IF(I161="","",TODAY()-I161)</f>
        <v/>
      </c>
      <c r="K161" s="9">
        <f>IF(D161="","",IFERROR(VLOOKUP(D161,'Trigger Library'!$B$4:$E$14,4,FALSE),""))</f>
        <v/>
      </c>
      <c r="L161" s="9">
        <f>IF(OR(J161="",K161=""),"",IF(J161&lt;=K161,"Fresh","Expired"))</f>
        <v/>
      </c>
    </row>
    <row r="162">
      <c r="A162" s="7" t="n"/>
      <c r="B162" s="7" t="n"/>
      <c r="C162" s="7" t="n"/>
      <c r="D162" s="7" t="n"/>
      <c r="E162" s="9">
        <f>IF(D162="","",IFERROR(VLOOKUP(D162,'Trigger Library'!$B$4:$E$14,2,FALSE),""))</f>
        <v/>
      </c>
      <c r="F162" s="9">
        <f>IF(OR(D162="",H162="",I162=""),0,IFERROR(VLOOKUP(D162,'Trigger Library'!$B$4:$E$14,3,FALSE),0))</f>
        <v/>
      </c>
      <c r="G162" s="7" t="n"/>
      <c r="H162" s="7" t="n"/>
      <c r="I162" s="7" t="n"/>
      <c r="J162" s="9">
        <f>IF(I162="","",TODAY()-I162)</f>
        <v/>
      </c>
      <c r="K162" s="9">
        <f>IF(D162="","",IFERROR(VLOOKUP(D162,'Trigger Library'!$B$4:$E$14,4,FALSE),""))</f>
        <v/>
      </c>
      <c r="L162" s="9">
        <f>IF(OR(J162="",K162=""),"",IF(J162&lt;=K162,"Fresh","Expired"))</f>
        <v/>
      </c>
    </row>
    <row r="163">
      <c r="A163" s="7" t="n"/>
      <c r="B163" s="7" t="n"/>
      <c r="C163" s="7" t="n"/>
      <c r="D163" s="7" t="n"/>
      <c r="E163" s="9">
        <f>IF(D163="","",IFERROR(VLOOKUP(D163,'Trigger Library'!$B$4:$E$14,2,FALSE),""))</f>
        <v/>
      </c>
      <c r="F163" s="9">
        <f>IF(OR(D163="",H163="",I163=""),0,IFERROR(VLOOKUP(D163,'Trigger Library'!$B$4:$E$14,3,FALSE),0))</f>
        <v/>
      </c>
      <c r="G163" s="7" t="n"/>
      <c r="H163" s="7" t="n"/>
      <c r="I163" s="7" t="n"/>
      <c r="J163" s="9">
        <f>IF(I163="","",TODAY()-I163)</f>
        <v/>
      </c>
      <c r="K163" s="9">
        <f>IF(D163="","",IFERROR(VLOOKUP(D163,'Trigger Library'!$B$4:$E$14,4,FALSE),""))</f>
        <v/>
      </c>
      <c r="L163" s="9">
        <f>IF(OR(J163="",K163=""),"",IF(J163&lt;=K163,"Fresh","Expired"))</f>
        <v/>
      </c>
    </row>
    <row r="164">
      <c r="A164" s="7" t="n"/>
      <c r="B164" s="7" t="n"/>
      <c r="C164" s="7" t="n"/>
      <c r="D164" s="7" t="n"/>
      <c r="E164" s="9">
        <f>IF(D164="","",IFERROR(VLOOKUP(D164,'Trigger Library'!$B$4:$E$14,2,FALSE),""))</f>
        <v/>
      </c>
      <c r="F164" s="9">
        <f>IF(OR(D164="",H164="",I164=""),0,IFERROR(VLOOKUP(D164,'Trigger Library'!$B$4:$E$14,3,FALSE),0))</f>
        <v/>
      </c>
      <c r="G164" s="7" t="n"/>
      <c r="H164" s="7" t="n"/>
      <c r="I164" s="7" t="n"/>
      <c r="J164" s="9">
        <f>IF(I164="","",TODAY()-I164)</f>
        <v/>
      </c>
      <c r="K164" s="9">
        <f>IF(D164="","",IFERROR(VLOOKUP(D164,'Trigger Library'!$B$4:$E$14,4,FALSE),""))</f>
        <v/>
      </c>
      <c r="L164" s="9">
        <f>IF(OR(J164="",K164=""),"",IF(J164&lt;=K164,"Fresh","Expired"))</f>
        <v/>
      </c>
    </row>
    <row r="165">
      <c r="A165" s="7" t="n"/>
      <c r="B165" s="7" t="n"/>
      <c r="C165" s="7" t="n"/>
      <c r="D165" s="7" t="n"/>
      <c r="E165" s="9">
        <f>IF(D165="","",IFERROR(VLOOKUP(D165,'Trigger Library'!$B$4:$E$14,2,FALSE),""))</f>
        <v/>
      </c>
      <c r="F165" s="9">
        <f>IF(OR(D165="",H165="",I165=""),0,IFERROR(VLOOKUP(D165,'Trigger Library'!$B$4:$E$14,3,FALSE),0))</f>
        <v/>
      </c>
      <c r="G165" s="7" t="n"/>
      <c r="H165" s="7" t="n"/>
      <c r="I165" s="7" t="n"/>
      <c r="J165" s="9">
        <f>IF(I165="","",TODAY()-I165)</f>
        <v/>
      </c>
      <c r="K165" s="9">
        <f>IF(D165="","",IFERROR(VLOOKUP(D165,'Trigger Library'!$B$4:$E$14,4,FALSE),""))</f>
        <v/>
      </c>
      <c r="L165" s="9">
        <f>IF(OR(J165="",K165=""),"",IF(J165&lt;=K165,"Fresh","Expired"))</f>
        <v/>
      </c>
    </row>
    <row r="166">
      <c r="A166" s="7" t="n"/>
      <c r="B166" s="7" t="n"/>
      <c r="C166" s="7" t="n"/>
      <c r="D166" s="7" t="n"/>
      <c r="E166" s="9">
        <f>IF(D166="","",IFERROR(VLOOKUP(D166,'Trigger Library'!$B$4:$E$14,2,FALSE),""))</f>
        <v/>
      </c>
      <c r="F166" s="9">
        <f>IF(OR(D166="",H166="",I166=""),0,IFERROR(VLOOKUP(D166,'Trigger Library'!$B$4:$E$14,3,FALSE),0))</f>
        <v/>
      </c>
      <c r="G166" s="7" t="n"/>
      <c r="H166" s="7" t="n"/>
      <c r="I166" s="7" t="n"/>
      <c r="J166" s="9">
        <f>IF(I166="","",TODAY()-I166)</f>
        <v/>
      </c>
      <c r="K166" s="9">
        <f>IF(D166="","",IFERROR(VLOOKUP(D166,'Trigger Library'!$B$4:$E$14,4,FALSE),""))</f>
        <v/>
      </c>
      <c r="L166" s="9">
        <f>IF(OR(J166="",K166=""),"",IF(J166&lt;=K166,"Fresh","Expired"))</f>
        <v/>
      </c>
    </row>
    <row r="167">
      <c r="A167" s="7" t="n"/>
      <c r="B167" s="7" t="n"/>
      <c r="C167" s="7" t="n"/>
      <c r="D167" s="7" t="n"/>
      <c r="E167" s="9">
        <f>IF(D167="","",IFERROR(VLOOKUP(D167,'Trigger Library'!$B$4:$E$14,2,FALSE),""))</f>
        <v/>
      </c>
      <c r="F167" s="9">
        <f>IF(OR(D167="",H167="",I167=""),0,IFERROR(VLOOKUP(D167,'Trigger Library'!$B$4:$E$14,3,FALSE),0))</f>
        <v/>
      </c>
      <c r="G167" s="7" t="n"/>
      <c r="H167" s="7" t="n"/>
      <c r="I167" s="7" t="n"/>
      <c r="J167" s="9">
        <f>IF(I167="","",TODAY()-I167)</f>
        <v/>
      </c>
      <c r="K167" s="9">
        <f>IF(D167="","",IFERROR(VLOOKUP(D167,'Trigger Library'!$B$4:$E$14,4,FALSE),""))</f>
        <v/>
      </c>
      <c r="L167" s="9">
        <f>IF(OR(J167="",K167=""),"",IF(J167&lt;=K167,"Fresh","Expired"))</f>
        <v/>
      </c>
    </row>
    <row r="168">
      <c r="A168" s="7" t="n"/>
      <c r="B168" s="7" t="n"/>
      <c r="C168" s="7" t="n"/>
      <c r="D168" s="7" t="n"/>
      <c r="E168" s="9">
        <f>IF(D168="","",IFERROR(VLOOKUP(D168,'Trigger Library'!$B$4:$E$14,2,FALSE),""))</f>
        <v/>
      </c>
      <c r="F168" s="9">
        <f>IF(OR(D168="",H168="",I168=""),0,IFERROR(VLOOKUP(D168,'Trigger Library'!$B$4:$E$14,3,FALSE),0))</f>
        <v/>
      </c>
      <c r="G168" s="7" t="n"/>
      <c r="H168" s="7" t="n"/>
      <c r="I168" s="7" t="n"/>
      <c r="J168" s="9">
        <f>IF(I168="","",TODAY()-I168)</f>
        <v/>
      </c>
      <c r="K168" s="9">
        <f>IF(D168="","",IFERROR(VLOOKUP(D168,'Trigger Library'!$B$4:$E$14,4,FALSE),""))</f>
        <v/>
      </c>
      <c r="L168" s="9">
        <f>IF(OR(J168="",K168=""),"",IF(J168&lt;=K168,"Fresh","Expired"))</f>
        <v/>
      </c>
    </row>
    <row r="169">
      <c r="A169" s="7" t="n"/>
      <c r="B169" s="7" t="n"/>
      <c r="C169" s="7" t="n"/>
      <c r="D169" s="7" t="n"/>
      <c r="E169" s="9">
        <f>IF(D169="","",IFERROR(VLOOKUP(D169,'Trigger Library'!$B$4:$E$14,2,FALSE),""))</f>
        <v/>
      </c>
      <c r="F169" s="9">
        <f>IF(OR(D169="",H169="",I169=""),0,IFERROR(VLOOKUP(D169,'Trigger Library'!$B$4:$E$14,3,FALSE),0))</f>
        <v/>
      </c>
      <c r="G169" s="7" t="n"/>
      <c r="H169" s="7" t="n"/>
      <c r="I169" s="7" t="n"/>
      <c r="J169" s="9">
        <f>IF(I169="","",TODAY()-I169)</f>
        <v/>
      </c>
      <c r="K169" s="9">
        <f>IF(D169="","",IFERROR(VLOOKUP(D169,'Trigger Library'!$B$4:$E$14,4,FALSE),""))</f>
        <v/>
      </c>
      <c r="L169" s="9">
        <f>IF(OR(J169="",K169=""),"",IF(J169&lt;=K169,"Fresh","Expired"))</f>
        <v/>
      </c>
    </row>
    <row r="170">
      <c r="A170" s="7" t="n"/>
      <c r="B170" s="7" t="n"/>
      <c r="C170" s="7" t="n"/>
      <c r="D170" s="7" t="n"/>
      <c r="E170" s="9">
        <f>IF(D170="","",IFERROR(VLOOKUP(D170,'Trigger Library'!$B$4:$E$14,2,FALSE),""))</f>
        <v/>
      </c>
      <c r="F170" s="9">
        <f>IF(OR(D170="",H170="",I170=""),0,IFERROR(VLOOKUP(D170,'Trigger Library'!$B$4:$E$14,3,FALSE),0))</f>
        <v/>
      </c>
      <c r="G170" s="7" t="n"/>
      <c r="H170" s="7" t="n"/>
      <c r="I170" s="7" t="n"/>
      <c r="J170" s="9">
        <f>IF(I170="","",TODAY()-I170)</f>
        <v/>
      </c>
      <c r="K170" s="9">
        <f>IF(D170="","",IFERROR(VLOOKUP(D170,'Trigger Library'!$B$4:$E$14,4,FALSE),""))</f>
        <v/>
      </c>
      <c r="L170" s="9">
        <f>IF(OR(J170="",K170=""),"",IF(J170&lt;=K170,"Fresh","Expired"))</f>
        <v/>
      </c>
    </row>
    <row r="171">
      <c r="A171" s="7" t="n"/>
      <c r="B171" s="7" t="n"/>
      <c r="C171" s="7" t="n"/>
      <c r="D171" s="7" t="n"/>
      <c r="E171" s="9">
        <f>IF(D171="","",IFERROR(VLOOKUP(D171,'Trigger Library'!$B$4:$E$14,2,FALSE),""))</f>
        <v/>
      </c>
      <c r="F171" s="9">
        <f>IF(OR(D171="",H171="",I171=""),0,IFERROR(VLOOKUP(D171,'Trigger Library'!$B$4:$E$14,3,FALSE),0))</f>
        <v/>
      </c>
      <c r="G171" s="7" t="n"/>
      <c r="H171" s="7" t="n"/>
      <c r="I171" s="7" t="n"/>
      <c r="J171" s="9">
        <f>IF(I171="","",TODAY()-I171)</f>
        <v/>
      </c>
      <c r="K171" s="9">
        <f>IF(D171="","",IFERROR(VLOOKUP(D171,'Trigger Library'!$B$4:$E$14,4,FALSE),""))</f>
        <v/>
      </c>
      <c r="L171" s="9">
        <f>IF(OR(J171="",K171=""),"",IF(J171&lt;=K171,"Fresh","Expired"))</f>
        <v/>
      </c>
    </row>
    <row r="172">
      <c r="A172" s="7" t="n"/>
      <c r="B172" s="7" t="n"/>
      <c r="C172" s="7" t="n"/>
      <c r="D172" s="7" t="n"/>
      <c r="E172" s="9">
        <f>IF(D172="","",IFERROR(VLOOKUP(D172,'Trigger Library'!$B$4:$E$14,2,FALSE),""))</f>
        <v/>
      </c>
      <c r="F172" s="9">
        <f>IF(OR(D172="",H172="",I172=""),0,IFERROR(VLOOKUP(D172,'Trigger Library'!$B$4:$E$14,3,FALSE),0))</f>
        <v/>
      </c>
      <c r="G172" s="7" t="n"/>
      <c r="H172" s="7" t="n"/>
      <c r="I172" s="7" t="n"/>
      <c r="J172" s="9">
        <f>IF(I172="","",TODAY()-I172)</f>
        <v/>
      </c>
      <c r="K172" s="9">
        <f>IF(D172="","",IFERROR(VLOOKUP(D172,'Trigger Library'!$B$4:$E$14,4,FALSE),""))</f>
        <v/>
      </c>
      <c r="L172" s="9">
        <f>IF(OR(J172="",K172=""),"",IF(J172&lt;=K172,"Fresh","Expired"))</f>
        <v/>
      </c>
    </row>
    <row r="173">
      <c r="A173" s="7" t="n"/>
      <c r="B173" s="7" t="n"/>
      <c r="C173" s="7" t="n"/>
      <c r="D173" s="7" t="n"/>
      <c r="E173" s="9">
        <f>IF(D173="","",IFERROR(VLOOKUP(D173,'Trigger Library'!$B$4:$E$14,2,FALSE),""))</f>
        <v/>
      </c>
      <c r="F173" s="9">
        <f>IF(OR(D173="",H173="",I173=""),0,IFERROR(VLOOKUP(D173,'Trigger Library'!$B$4:$E$14,3,FALSE),0))</f>
        <v/>
      </c>
      <c r="G173" s="7" t="n"/>
      <c r="H173" s="7" t="n"/>
      <c r="I173" s="7" t="n"/>
      <c r="J173" s="9">
        <f>IF(I173="","",TODAY()-I173)</f>
        <v/>
      </c>
      <c r="K173" s="9">
        <f>IF(D173="","",IFERROR(VLOOKUP(D173,'Trigger Library'!$B$4:$E$14,4,FALSE),""))</f>
        <v/>
      </c>
      <c r="L173" s="9">
        <f>IF(OR(J173="",K173=""),"",IF(J173&lt;=K173,"Fresh","Expired"))</f>
        <v/>
      </c>
    </row>
    <row r="174">
      <c r="A174" s="7" t="n"/>
      <c r="B174" s="7" t="n"/>
      <c r="C174" s="7" t="n"/>
      <c r="D174" s="7" t="n"/>
      <c r="E174" s="9">
        <f>IF(D174="","",IFERROR(VLOOKUP(D174,'Trigger Library'!$B$4:$E$14,2,FALSE),""))</f>
        <v/>
      </c>
      <c r="F174" s="9">
        <f>IF(OR(D174="",H174="",I174=""),0,IFERROR(VLOOKUP(D174,'Trigger Library'!$B$4:$E$14,3,FALSE),0))</f>
        <v/>
      </c>
      <c r="G174" s="7" t="n"/>
      <c r="H174" s="7" t="n"/>
      <c r="I174" s="7" t="n"/>
      <c r="J174" s="9">
        <f>IF(I174="","",TODAY()-I174)</f>
        <v/>
      </c>
      <c r="K174" s="9">
        <f>IF(D174="","",IFERROR(VLOOKUP(D174,'Trigger Library'!$B$4:$E$14,4,FALSE),""))</f>
        <v/>
      </c>
      <c r="L174" s="9">
        <f>IF(OR(J174="",K174=""),"",IF(J174&lt;=K174,"Fresh","Expired"))</f>
        <v/>
      </c>
    </row>
    <row r="175">
      <c r="A175" s="7" t="n"/>
      <c r="B175" s="7" t="n"/>
      <c r="C175" s="7" t="n"/>
      <c r="D175" s="7" t="n"/>
      <c r="E175" s="9">
        <f>IF(D175="","",IFERROR(VLOOKUP(D175,'Trigger Library'!$B$4:$E$14,2,FALSE),""))</f>
        <v/>
      </c>
      <c r="F175" s="9">
        <f>IF(OR(D175="",H175="",I175=""),0,IFERROR(VLOOKUP(D175,'Trigger Library'!$B$4:$E$14,3,FALSE),0))</f>
        <v/>
      </c>
      <c r="G175" s="7" t="n"/>
      <c r="H175" s="7" t="n"/>
      <c r="I175" s="7" t="n"/>
      <c r="J175" s="9">
        <f>IF(I175="","",TODAY()-I175)</f>
        <v/>
      </c>
      <c r="K175" s="9">
        <f>IF(D175="","",IFERROR(VLOOKUP(D175,'Trigger Library'!$B$4:$E$14,4,FALSE),""))</f>
        <v/>
      </c>
      <c r="L175" s="9">
        <f>IF(OR(J175="",K175=""),"",IF(J175&lt;=K175,"Fresh","Expired"))</f>
        <v/>
      </c>
    </row>
    <row r="176">
      <c r="A176" s="7" t="n"/>
      <c r="B176" s="7" t="n"/>
      <c r="C176" s="7" t="n"/>
      <c r="D176" s="7" t="n"/>
      <c r="E176" s="9">
        <f>IF(D176="","",IFERROR(VLOOKUP(D176,'Trigger Library'!$B$4:$E$14,2,FALSE),""))</f>
        <v/>
      </c>
      <c r="F176" s="9">
        <f>IF(OR(D176="",H176="",I176=""),0,IFERROR(VLOOKUP(D176,'Trigger Library'!$B$4:$E$14,3,FALSE),0))</f>
        <v/>
      </c>
      <c r="G176" s="7" t="n"/>
      <c r="H176" s="7" t="n"/>
      <c r="I176" s="7" t="n"/>
      <c r="J176" s="9">
        <f>IF(I176="","",TODAY()-I176)</f>
        <v/>
      </c>
      <c r="K176" s="9">
        <f>IF(D176="","",IFERROR(VLOOKUP(D176,'Trigger Library'!$B$4:$E$14,4,FALSE),""))</f>
        <v/>
      </c>
      <c r="L176" s="9">
        <f>IF(OR(J176="",K176=""),"",IF(J176&lt;=K176,"Fresh","Expired"))</f>
        <v/>
      </c>
    </row>
    <row r="177">
      <c r="A177" s="7" t="n"/>
      <c r="B177" s="7" t="n"/>
      <c r="C177" s="7" t="n"/>
      <c r="D177" s="7" t="n"/>
      <c r="E177" s="9">
        <f>IF(D177="","",IFERROR(VLOOKUP(D177,'Trigger Library'!$B$4:$E$14,2,FALSE),""))</f>
        <v/>
      </c>
      <c r="F177" s="9">
        <f>IF(OR(D177="",H177="",I177=""),0,IFERROR(VLOOKUP(D177,'Trigger Library'!$B$4:$E$14,3,FALSE),0))</f>
        <v/>
      </c>
      <c r="G177" s="7" t="n"/>
      <c r="H177" s="7" t="n"/>
      <c r="I177" s="7" t="n"/>
      <c r="J177" s="9">
        <f>IF(I177="","",TODAY()-I177)</f>
        <v/>
      </c>
      <c r="K177" s="9">
        <f>IF(D177="","",IFERROR(VLOOKUP(D177,'Trigger Library'!$B$4:$E$14,4,FALSE),""))</f>
        <v/>
      </c>
      <c r="L177" s="9">
        <f>IF(OR(J177="",K177=""),"",IF(J177&lt;=K177,"Fresh","Expired"))</f>
        <v/>
      </c>
    </row>
    <row r="178">
      <c r="A178" s="7" t="n"/>
      <c r="B178" s="7" t="n"/>
      <c r="C178" s="7" t="n"/>
      <c r="D178" s="7" t="n"/>
      <c r="E178" s="9">
        <f>IF(D178="","",IFERROR(VLOOKUP(D178,'Trigger Library'!$B$4:$E$14,2,FALSE),""))</f>
        <v/>
      </c>
      <c r="F178" s="9">
        <f>IF(OR(D178="",H178="",I178=""),0,IFERROR(VLOOKUP(D178,'Trigger Library'!$B$4:$E$14,3,FALSE),0))</f>
        <v/>
      </c>
      <c r="G178" s="7" t="n"/>
      <c r="H178" s="7" t="n"/>
      <c r="I178" s="7" t="n"/>
      <c r="J178" s="9">
        <f>IF(I178="","",TODAY()-I178)</f>
        <v/>
      </c>
      <c r="K178" s="9">
        <f>IF(D178="","",IFERROR(VLOOKUP(D178,'Trigger Library'!$B$4:$E$14,4,FALSE),""))</f>
        <v/>
      </c>
      <c r="L178" s="9">
        <f>IF(OR(J178="",K178=""),"",IF(J178&lt;=K178,"Fresh","Expired"))</f>
        <v/>
      </c>
    </row>
    <row r="179">
      <c r="A179" s="7" t="n"/>
      <c r="B179" s="7" t="n"/>
      <c r="C179" s="7" t="n"/>
      <c r="D179" s="7" t="n"/>
      <c r="E179" s="9">
        <f>IF(D179="","",IFERROR(VLOOKUP(D179,'Trigger Library'!$B$4:$E$14,2,FALSE),""))</f>
        <v/>
      </c>
      <c r="F179" s="9">
        <f>IF(OR(D179="",H179="",I179=""),0,IFERROR(VLOOKUP(D179,'Trigger Library'!$B$4:$E$14,3,FALSE),0))</f>
        <v/>
      </c>
      <c r="G179" s="7" t="n"/>
      <c r="H179" s="7" t="n"/>
      <c r="I179" s="7" t="n"/>
      <c r="J179" s="9">
        <f>IF(I179="","",TODAY()-I179)</f>
        <v/>
      </c>
      <c r="K179" s="9">
        <f>IF(D179="","",IFERROR(VLOOKUP(D179,'Trigger Library'!$B$4:$E$14,4,FALSE),""))</f>
        <v/>
      </c>
      <c r="L179" s="9">
        <f>IF(OR(J179="",K179=""),"",IF(J179&lt;=K179,"Fresh","Expired"))</f>
        <v/>
      </c>
    </row>
    <row r="180">
      <c r="A180" s="7" t="n"/>
      <c r="B180" s="7" t="n"/>
      <c r="C180" s="7" t="n"/>
      <c r="D180" s="7" t="n"/>
      <c r="E180" s="9">
        <f>IF(D180="","",IFERROR(VLOOKUP(D180,'Trigger Library'!$B$4:$E$14,2,FALSE),""))</f>
        <v/>
      </c>
      <c r="F180" s="9">
        <f>IF(OR(D180="",H180="",I180=""),0,IFERROR(VLOOKUP(D180,'Trigger Library'!$B$4:$E$14,3,FALSE),0))</f>
        <v/>
      </c>
      <c r="G180" s="7" t="n"/>
      <c r="H180" s="7" t="n"/>
      <c r="I180" s="7" t="n"/>
      <c r="J180" s="9">
        <f>IF(I180="","",TODAY()-I180)</f>
        <v/>
      </c>
      <c r="K180" s="9">
        <f>IF(D180="","",IFERROR(VLOOKUP(D180,'Trigger Library'!$B$4:$E$14,4,FALSE),""))</f>
        <v/>
      </c>
      <c r="L180" s="9">
        <f>IF(OR(J180="",K180=""),"",IF(J180&lt;=K180,"Fresh","Expired"))</f>
        <v/>
      </c>
    </row>
    <row r="181">
      <c r="A181" s="7" t="n"/>
      <c r="B181" s="7" t="n"/>
      <c r="C181" s="7" t="n"/>
      <c r="D181" s="7" t="n"/>
      <c r="E181" s="9">
        <f>IF(D181="","",IFERROR(VLOOKUP(D181,'Trigger Library'!$B$4:$E$14,2,FALSE),""))</f>
        <v/>
      </c>
      <c r="F181" s="9">
        <f>IF(OR(D181="",H181="",I181=""),0,IFERROR(VLOOKUP(D181,'Trigger Library'!$B$4:$E$14,3,FALSE),0))</f>
        <v/>
      </c>
      <c r="G181" s="7" t="n"/>
      <c r="H181" s="7" t="n"/>
      <c r="I181" s="7" t="n"/>
      <c r="J181" s="9">
        <f>IF(I181="","",TODAY()-I181)</f>
        <v/>
      </c>
      <c r="K181" s="9">
        <f>IF(D181="","",IFERROR(VLOOKUP(D181,'Trigger Library'!$B$4:$E$14,4,FALSE),""))</f>
        <v/>
      </c>
      <c r="L181" s="9">
        <f>IF(OR(J181="",K181=""),"",IF(J181&lt;=K181,"Fresh","Expired"))</f>
        <v/>
      </c>
    </row>
    <row r="182">
      <c r="A182" s="7" t="n"/>
      <c r="B182" s="7" t="n"/>
      <c r="C182" s="7" t="n"/>
      <c r="D182" s="7" t="n"/>
      <c r="E182" s="9">
        <f>IF(D182="","",IFERROR(VLOOKUP(D182,'Trigger Library'!$B$4:$E$14,2,FALSE),""))</f>
        <v/>
      </c>
      <c r="F182" s="9">
        <f>IF(OR(D182="",H182="",I182=""),0,IFERROR(VLOOKUP(D182,'Trigger Library'!$B$4:$E$14,3,FALSE),0))</f>
        <v/>
      </c>
      <c r="G182" s="7" t="n"/>
      <c r="H182" s="7" t="n"/>
      <c r="I182" s="7" t="n"/>
      <c r="J182" s="9">
        <f>IF(I182="","",TODAY()-I182)</f>
        <v/>
      </c>
      <c r="K182" s="9">
        <f>IF(D182="","",IFERROR(VLOOKUP(D182,'Trigger Library'!$B$4:$E$14,4,FALSE),""))</f>
        <v/>
      </c>
      <c r="L182" s="9">
        <f>IF(OR(J182="",K182=""),"",IF(J182&lt;=K182,"Fresh","Expired"))</f>
        <v/>
      </c>
    </row>
    <row r="183">
      <c r="A183" s="7" t="n"/>
      <c r="B183" s="7" t="n"/>
      <c r="C183" s="7" t="n"/>
      <c r="D183" s="7" t="n"/>
      <c r="E183" s="9">
        <f>IF(D183="","",IFERROR(VLOOKUP(D183,'Trigger Library'!$B$4:$E$14,2,FALSE),""))</f>
        <v/>
      </c>
      <c r="F183" s="9">
        <f>IF(OR(D183="",H183="",I183=""),0,IFERROR(VLOOKUP(D183,'Trigger Library'!$B$4:$E$14,3,FALSE),0))</f>
        <v/>
      </c>
      <c r="G183" s="7" t="n"/>
      <c r="H183" s="7" t="n"/>
      <c r="I183" s="7" t="n"/>
      <c r="J183" s="9">
        <f>IF(I183="","",TODAY()-I183)</f>
        <v/>
      </c>
      <c r="K183" s="9">
        <f>IF(D183="","",IFERROR(VLOOKUP(D183,'Trigger Library'!$B$4:$E$14,4,FALSE),""))</f>
        <v/>
      </c>
      <c r="L183" s="9">
        <f>IF(OR(J183="",K183=""),"",IF(J183&lt;=K183,"Fresh","Expired"))</f>
        <v/>
      </c>
    </row>
    <row r="184">
      <c r="A184" s="7" t="n"/>
      <c r="B184" s="7" t="n"/>
      <c r="C184" s="7" t="n"/>
      <c r="D184" s="7" t="n"/>
      <c r="E184" s="9">
        <f>IF(D184="","",IFERROR(VLOOKUP(D184,'Trigger Library'!$B$4:$E$14,2,FALSE),""))</f>
        <v/>
      </c>
      <c r="F184" s="9">
        <f>IF(OR(D184="",H184="",I184=""),0,IFERROR(VLOOKUP(D184,'Trigger Library'!$B$4:$E$14,3,FALSE),0))</f>
        <v/>
      </c>
      <c r="G184" s="7" t="n"/>
      <c r="H184" s="7" t="n"/>
      <c r="I184" s="7" t="n"/>
      <c r="J184" s="9">
        <f>IF(I184="","",TODAY()-I184)</f>
        <v/>
      </c>
      <c r="K184" s="9">
        <f>IF(D184="","",IFERROR(VLOOKUP(D184,'Trigger Library'!$B$4:$E$14,4,FALSE),""))</f>
        <v/>
      </c>
      <c r="L184" s="9">
        <f>IF(OR(J184="",K184=""),"",IF(J184&lt;=K184,"Fresh","Expired"))</f>
        <v/>
      </c>
    </row>
    <row r="185">
      <c r="A185" s="7" t="n"/>
      <c r="B185" s="7" t="n"/>
      <c r="C185" s="7" t="n"/>
      <c r="D185" s="7" t="n"/>
      <c r="E185" s="9">
        <f>IF(D185="","",IFERROR(VLOOKUP(D185,'Trigger Library'!$B$4:$E$14,2,FALSE),""))</f>
        <v/>
      </c>
      <c r="F185" s="9">
        <f>IF(OR(D185="",H185="",I185=""),0,IFERROR(VLOOKUP(D185,'Trigger Library'!$B$4:$E$14,3,FALSE),0))</f>
        <v/>
      </c>
      <c r="G185" s="7" t="n"/>
      <c r="H185" s="7" t="n"/>
      <c r="I185" s="7" t="n"/>
      <c r="J185" s="9">
        <f>IF(I185="","",TODAY()-I185)</f>
        <v/>
      </c>
      <c r="K185" s="9">
        <f>IF(D185="","",IFERROR(VLOOKUP(D185,'Trigger Library'!$B$4:$E$14,4,FALSE),""))</f>
        <v/>
      </c>
      <c r="L185" s="9">
        <f>IF(OR(J185="",K185=""),"",IF(J185&lt;=K185,"Fresh","Expired"))</f>
        <v/>
      </c>
    </row>
    <row r="186">
      <c r="A186" s="7" t="n"/>
      <c r="B186" s="7" t="n"/>
      <c r="C186" s="7" t="n"/>
      <c r="D186" s="7" t="n"/>
      <c r="E186" s="9">
        <f>IF(D186="","",IFERROR(VLOOKUP(D186,'Trigger Library'!$B$4:$E$14,2,FALSE),""))</f>
        <v/>
      </c>
      <c r="F186" s="9">
        <f>IF(OR(D186="",H186="",I186=""),0,IFERROR(VLOOKUP(D186,'Trigger Library'!$B$4:$E$14,3,FALSE),0))</f>
        <v/>
      </c>
      <c r="G186" s="7" t="n"/>
      <c r="H186" s="7" t="n"/>
      <c r="I186" s="7" t="n"/>
      <c r="J186" s="9">
        <f>IF(I186="","",TODAY()-I186)</f>
        <v/>
      </c>
      <c r="K186" s="9">
        <f>IF(D186="","",IFERROR(VLOOKUP(D186,'Trigger Library'!$B$4:$E$14,4,FALSE),""))</f>
        <v/>
      </c>
      <c r="L186" s="9">
        <f>IF(OR(J186="",K186=""),"",IF(J186&lt;=K186,"Fresh","Expired"))</f>
        <v/>
      </c>
    </row>
    <row r="187">
      <c r="A187" s="7" t="n"/>
      <c r="B187" s="7" t="n"/>
      <c r="C187" s="7" t="n"/>
      <c r="D187" s="7" t="n"/>
      <c r="E187" s="9">
        <f>IF(D187="","",IFERROR(VLOOKUP(D187,'Trigger Library'!$B$4:$E$14,2,FALSE),""))</f>
        <v/>
      </c>
      <c r="F187" s="9">
        <f>IF(OR(D187="",H187="",I187=""),0,IFERROR(VLOOKUP(D187,'Trigger Library'!$B$4:$E$14,3,FALSE),0))</f>
        <v/>
      </c>
      <c r="G187" s="7" t="n"/>
      <c r="H187" s="7" t="n"/>
      <c r="I187" s="7" t="n"/>
      <c r="J187" s="9">
        <f>IF(I187="","",TODAY()-I187)</f>
        <v/>
      </c>
      <c r="K187" s="9">
        <f>IF(D187="","",IFERROR(VLOOKUP(D187,'Trigger Library'!$B$4:$E$14,4,FALSE),""))</f>
        <v/>
      </c>
      <c r="L187" s="9">
        <f>IF(OR(J187="",K187=""),"",IF(J187&lt;=K187,"Fresh","Expired"))</f>
        <v/>
      </c>
    </row>
    <row r="188">
      <c r="A188" s="7" t="n"/>
      <c r="B188" s="7" t="n"/>
      <c r="C188" s="7" t="n"/>
      <c r="D188" s="7" t="n"/>
      <c r="E188" s="9">
        <f>IF(D188="","",IFERROR(VLOOKUP(D188,'Trigger Library'!$B$4:$E$14,2,FALSE),""))</f>
        <v/>
      </c>
      <c r="F188" s="9">
        <f>IF(OR(D188="",H188="",I188=""),0,IFERROR(VLOOKUP(D188,'Trigger Library'!$B$4:$E$14,3,FALSE),0))</f>
        <v/>
      </c>
      <c r="G188" s="7" t="n"/>
      <c r="H188" s="7" t="n"/>
      <c r="I188" s="7" t="n"/>
      <c r="J188" s="9">
        <f>IF(I188="","",TODAY()-I188)</f>
        <v/>
      </c>
      <c r="K188" s="9">
        <f>IF(D188="","",IFERROR(VLOOKUP(D188,'Trigger Library'!$B$4:$E$14,4,FALSE),""))</f>
        <v/>
      </c>
      <c r="L188" s="9">
        <f>IF(OR(J188="",K188=""),"",IF(J188&lt;=K188,"Fresh","Expired"))</f>
        <v/>
      </c>
    </row>
    <row r="189">
      <c r="A189" s="7" t="n"/>
      <c r="B189" s="7" t="n"/>
      <c r="C189" s="7" t="n"/>
      <c r="D189" s="7" t="n"/>
      <c r="E189" s="9">
        <f>IF(D189="","",IFERROR(VLOOKUP(D189,'Trigger Library'!$B$4:$E$14,2,FALSE),""))</f>
        <v/>
      </c>
      <c r="F189" s="9">
        <f>IF(OR(D189="",H189="",I189=""),0,IFERROR(VLOOKUP(D189,'Trigger Library'!$B$4:$E$14,3,FALSE),0))</f>
        <v/>
      </c>
      <c r="G189" s="7" t="n"/>
      <c r="H189" s="7" t="n"/>
      <c r="I189" s="7" t="n"/>
      <c r="J189" s="9">
        <f>IF(I189="","",TODAY()-I189)</f>
        <v/>
      </c>
      <c r="K189" s="9">
        <f>IF(D189="","",IFERROR(VLOOKUP(D189,'Trigger Library'!$B$4:$E$14,4,FALSE),""))</f>
        <v/>
      </c>
      <c r="L189" s="9">
        <f>IF(OR(J189="",K189=""),"",IF(J189&lt;=K189,"Fresh","Expired"))</f>
        <v/>
      </c>
    </row>
    <row r="190">
      <c r="A190" s="7" t="n"/>
      <c r="B190" s="7" t="n"/>
      <c r="C190" s="7" t="n"/>
      <c r="D190" s="7" t="n"/>
      <c r="E190" s="9">
        <f>IF(D190="","",IFERROR(VLOOKUP(D190,'Trigger Library'!$B$4:$E$14,2,FALSE),""))</f>
        <v/>
      </c>
      <c r="F190" s="9">
        <f>IF(OR(D190="",H190="",I190=""),0,IFERROR(VLOOKUP(D190,'Trigger Library'!$B$4:$E$14,3,FALSE),0))</f>
        <v/>
      </c>
      <c r="G190" s="7" t="n"/>
      <c r="H190" s="7" t="n"/>
      <c r="I190" s="7" t="n"/>
      <c r="J190" s="9">
        <f>IF(I190="","",TODAY()-I190)</f>
        <v/>
      </c>
      <c r="K190" s="9">
        <f>IF(D190="","",IFERROR(VLOOKUP(D190,'Trigger Library'!$B$4:$E$14,4,FALSE),""))</f>
        <v/>
      </c>
      <c r="L190" s="9">
        <f>IF(OR(J190="",K190=""),"",IF(J190&lt;=K190,"Fresh","Expired"))</f>
        <v/>
      </c>
    </row>
    <row r="191">
      <c r="A191" s="7" t="n"/>
      <c r="B191" s="7" t="n"/>
      <c r="C191" s="7" t="n"/>
      <c r="D191" s="7" t="n"/>
      <c r="E191" s="9">
        <f>IF(D191="","",IFERROR(VLOOKUP(D191,'Trigger Library'!$B$4:$E$14,2,FALSE),""))</f>
        <v/>
      </c>
      <c r="F191" s="9">
        <f>IF(OR(D191="",H191="",I191=""),0,IFERROR(VLOOKUP(D191,'Trigger Library'!$B$4:$E$14,3,FALSE),0))</f>
        <v/>
      </c>
      <c r="G191" s="7" t="n"/>
      <c r="H191" s="7" t="n"/>
      <c r="I191" s="7" t="n"/>
      <c r="J191" s="9">
        <f>IF(I191="","",TODAY()-I191)</f>
        <v/>
      </c>
      <c r="K191" s="9">
        <f>IF(D191="","",IFERROR(VLOOKUP(D191,'Trigger Library'!$B$4:$E$14,4,FALSE),""))</f>
        <v/>
      </c>
      <c r="L191" s="9">
        <f>IF(OR(J191="",K191=""),"",IF(J191&lt;=K191,"Fresh","Expired"))</f>
        <v/>
      </c>
    </row>
    <row r="192">
      <c r="A192" s="7" t="n"/>
      <c r="B192" s="7" t="n"/>
      <c r="C192" s="7" t="n"/>
      <c r="D192" s="7" t="n"/>
      <c r="E192" s="9">
        <f>IF(D192="","",IFERROR(VLOOKUP(D192,'Trigger Library'!$B$4:$E$14,2,FALSE),""))</f>
        <v/>
      </c>
      <c r="F192" s="9">
        <f>IF(OR(D192="",H192="",I192=""),0,IFERROR(VLOOKUP(D192,'Trigger Library'!$B$4:$E$14,3,FALSE),0))</f>
        <v/>
      </c>
      <c r="G192" s="7" t="n"/>
      <c r="H192" s="7" t="n"/>
      <c r="I192" s="7" t="n"/>
      <c r="J192" s="9">
        <f>IF(I192="","",TODAY()-I192)</f>
        <v/>
      </c>
      <c r="K192" s="9">
        <f>IF(D192="","",IFERROR(VLOOKUP(D192,'Trigger Library'!$B$4:$E$14,4,FALSE),""))</f>
        <v/>
      </c>
      <c r="L192" s="9">
        <f>IF(OR(J192="",K192=""),"",IF(J192&lt;=K192,"Fresh","Expired"))</f>
        <v/>
      </c>
    </row>
    <row r="193">
      <c r="A193" s="7" t="n"/>
      <c r="B193" s="7" t="n"/>
      <c r="C193" s="7" t="n"/>
      <c r="D193" s="7" t="n"/>
      <c r="E193" s="9">
        <f>IF(D193="","",IFERROR(VLOOKUP(D193,'Trigger Library'!$B$4:$E$14,2,FALSE),""))</f>
        <v/>
      </c>
      <c r="F193" s="9">
        <f>IF(OR(D193="",H193="",I193=""),0,IFERROR(VLOOKUP(D193,'Trigger Library'!$B$4:$E$14,3,FALSE),0))</f>
        <v/>
      </c>
      <c r="G193" s="7" t="n"/>
      <c r="H193" s="7" t="n"/>
      <c r="I193" s="7" t="n"/>
      <c r="J193" s="9">
        <f>IF(I193="","",TODAY()-I193)</f>
        <v/>
      </c>
      <c r="K193" s="9">
        <f>IF(D193="","",IFERROR(VLOOKUP(D193,'Trigger Library'!$B$4:$E$14,4,FALSE),""))</f>
        <v/>
      </c>
      <c r="L193" s="9">
        <f>IF(OR(J193="",K193=""),"",IF(J193&lt;=K193,"Fresh","Expired"))</f>
        <v/>
      </c>
    </row>
    <row r="194">
      <c r="A194" s="7" t="n"/>
      <c r="B194" s="7" t="n"/>
      <c r="C194" s="7" t="n"/>
      <c r="D194" s="7" t="n"/>
      <c r="E194" s="9">
        <f>IF(D194="","",IFERROR(VLOOKUP(D194,'Trigger Library'!$B$4:$E$14,2,FALSE),""))</f>
        <v/>
      </c>
      <c r="F194" s="9">
        <f>IF(OR(D194="",H194="",I194=""),0,IFERROR(VLOOKUP(D194,'Trigger Library'!$B$4:$E$14,3,FALSE),0))</f>
        <v/>
      </c>
      <c r="G194" s="7" t="n"/>
      <c r="H194" s="7" t="n"/>
      <c r="I194" s="7" t="n"/>
      <c r="J194" s="9">
        <f>IF(I194="","",TODAY()-I194)</f>
        <v/>
      </c>
      <c r="K194" s="9">
        <f>IF(D194="","",IFERROR(VLOOKUP(D194,'Trigger Library'!$B$4:$E$14,4,FALSE),""))</f>
        <v/>
      </c>
      <c r="L194" s="9">
        <f>IF(OR(J194="",K194=""),"",IF(J194&lt;=K194,"Fresh","Expired"))</f>
        <v/>
      </c>
    </row>
    <row r="195">
      <c r="A195" s="7" t="n"/>
      <c r="B195" s="7" t="n"/>
      <c r="C195" s="7" t="n"/>
      <c r="D195" s="7" t="n"/>
      <c r="E195" s="9">
        <f>IF(D195="","",IFERROR(VLOOKUP(D195,'Trigger Library'!$B$4:$E$14,2,FALSE),""))</f>
        <v/>
      </c>
      <c r="F195" s="9">
        <f>IF(OR(D195="",H195="",I195=""),0,IFERROR(VLOOKUP(D195,'Trigger Library'!$B$4:$E$14,3,FALSE),0))</f>
        <v/>
      </c>
      <c r="G195" s="7" t="n"/>
      <c r="H195" s="7" t="n"/>
      <c r="I195" s="7" t="n"/>
      <c r="J195" s="9">
        <f>IF(I195="","",TODAY()-I195)</f>
        <v/>
      </c>
      <c r="K195" s="9">
        <f>IF(D195="","",IFERROR(VLOOKUP(D195,'Trigger Library'!$B$4:$E$14,4,FALSE),""))</f>
        <v/>
      </c>
      <c r="L195" s="9">
        <f>IF(OR(J195="",K195=""),"",IF(J195&lt;=K195,"Fresh","Expired"))</f>
        <v/>
      </c>
    </row>
    <row r="196">
      <c r="A196" s="7" t="n"/>
      <c r="B196" s="7" t="n"/>
      <c r="C196" s="7" t="n"/>
      <c r="D196" s="7" t="n"/>
      <c r="E196" s="9">
        <f>IF(D196="","",IFERROR(VLOOKUP(D196,'Trigger Library'!$B$4:$E$14,2,FALSE),""))</f>
        <v/>
      </c>
      <c r="F196" s="9">
        <f>IF(OR(D196="",H196="",I196=""),0,IFERROR(VLOOKUP(D196,'Trigger Library'!$B$4:$E$14,3,FALSE),0))</f>
        <v/>
      </c>
      <c r="G196" s="7" t="n"/>
      <c r="H196" s="7" t="n"/>
      <c r="I196" s="7" t="n"/>
      <c r="J196" s="9">
        <f>IF(I196="","",TODAY()-I196)</f>
        <v/>
      </c>
      <c r="K196" s="9">
        <f>IF(D196="","",IFERROR(VLOOKUP(D196,'Trigger Library'!$B$4:$E$14,4,FALSE),""))</f>
        <v/>
      </c>
      <c r="L196" s="9">
        <f>IF(OR(J196="",K196=""),"",IF(J196&lt;=K196,"Fresh","Expired"))</f>
        <v/>
      </c>
    </row>
    <row r="197">
      <c r="A197" s="7" t="n"/>
      <c r="B197" s="7" t="n"/>
      <c r="C197" s="7" t="n"/>
      <c r="D197" s="7" t="n"/>
      <c r="E197" s="9">
        <f>IF(D197="","",IFERROR(VLOOKUP(D197,'Trigger Library'!$B$4:$E$14,2,FALSE),""))</f>
        <v/>
      </c>
      <c r="F197" s="9">
        <f>IF(OR(D197="",H197="",I197=""),0,IFERROR(VLOOKUP(D197,'Trigger Library'!$B$4:$E$14,3,FALSE),0))</f>
        <v/>
      </c>
      <c r="G197" s="7" t="n"/>
      <c r="H197" s="7" t="n"/>
      <c r="I197" s="7" t="n"/>
      <c r="J197" s="9">
        <f>IF(I197="","",TODAY()-I197)</f>
        <v/>
      </c>
      <c r="K197" s="9">
        <f>IF(D197="","",IFERROR(VLOOKUP(D197,'Trigger Library'!$B$4:$E$14,4,FALSE),""))</f>
        <v/>
      </c>
      <c r="L197" s="9">
        <f>IF(OR(J197="",K197=""),"",IF(J197&lt;=K197,"Fresh","Expired"))</f>
        <v/>
      </c>
    </row>
    <row r="198">
      <c r="A198" s="7" t="n"/>
      <c r="B198" s="7" t="n"/>
      <c r="C198" s="7" t="n"/>
      <c r="D198" s="7" t="n"/>
      <c r="E198" s="9">
        <f>IF(D198="","",IFERROR(VLOOKUP(D198,'Trigger Library'!$B$4:$E$14,2,FALSE),""))</f>
        <v/>
      </c>
      <c r="F198" s="9">
        <f>IF(OR(D198="",H198="",I198=""),0,IFERROR(VLOOKUP(D198,'Trigger Library'!$B$4:$E$14,3,FALSE),0))</f>
        <v/>
      </c>
      <c r="G198" s="7" t="n"/>
      <c r="H198" s="7" t="n"/>
      <c r="I198" s="7" t="n"/>
      <c r="J198" s="9">
        <f>IF(I198="","",TODAY()-I198)</f>
        <v/>
      </c>
      <c r="K198" s="9">
        <f>IF(D198="","",IFERROR(VLOOKUP(D198,'Trigger Library'!$B$4:$E$14,4,FALSE),""))</f>
        <v/>
      </c>
      <c r="L198" s="9">
        <f>IF(OR(J198="",K198=""),"",IF(J198&lt;=K198,"Fresh","Expired"))</f>
        <v/>
      </c>
    </row>
    <row r="199">
      <c r="A199" s="7" t="n"/>
      <c r="B199" s="7" t="n"/>
      <c r="C199" s="7" t="n"/>
      <c r="D199" s="7" t="n"/>
      <c r="E199" s="9">
        <f>IF(D199="","",IFERROR(VLOOKUP(D199,'Trigger Library'!$B$4:$E$14,2,FALSE),""))</f>
        <v/>
      </c>
      <c r="F199" s="9">
        <f>IF(OR(D199="",H199="",I199=""),0,IFERROR(VLOOKUP(D199,'Trigger Library'!$B$4:$E$14,3,FALSE),0))</f>
        <v/>
      </c>
      <c r="G199" s="7" t="n"/>
      <c r="H199" s="7" t="n"/>
      <c r="I199" s="7" t="n"/>
      <c r="J199" s="9">
        <f>IF(I199="","",TODAY()-I199)</f>
        <v/>
      </c>
      <c r="K199" s="9">
        <f>IF(D199="","",IFERROR(VLOOKUP(D199,'Trigger Library'!$B$4:$E$14,4,FALSE),""))</f>
        <v/>
      </c>
      <c r="L199" s="9">
        <f>IF(OR(J199="",K199=""),"",IF(J199&lt;=K199,"Fresh","Expired"))</f>
        <v/>
      </c>
    </row>
    <row r="200">
      <c r="A200" s="7" t="n"/>
      <c r="B200" s="7" t="n"/>
      <c r="C200" s="7" t="n"/>
      <c r="D200" s="7" t="n"/>
      <c r="E200" s="9">
        <f>IF(D200="","",IFERROR(VLOOKUP(D200,'Trigger Library'!$B$4:$E$14,2,FALSE),""))</f>
        <v/>
      </c>
      <c r="F200" s="9">
        <f>IF(OR(D200="",H200="",I200=""),0,IFERROR(VLOOKUP(D200,'Trigger Library'!$B$4:$E$14,3,FALSE),0))</f>
        <v/>
      </c>
      <c r="G200" s="7" t="n"/>
      <c r="H200" s="7" t="n"/>
      <c r="I200" s="7" t="n"/>
      <c r="J200" s="9">
        <f>IF(I200="","",TODAY()-I200)</f>
        <v/>
      </c>
      <c r="K200" s="9">
        <f>IF(D200="","",IFERROR(VLOOKUP(D200,'Trigger Library'!$B$4:$E$14,4,FALSE),""))</f>
        <v/>
      </c>
      <c r="L200" s="9">
        <f>IF(OR(J200="",K200=""),"",IF(J200&lt;=K200,"Fresh","Expired"))</f>
        <v/>
      </c>
    </row>
    <row r="201">
      <c r="A201" s="7" t="n"/>
      <c r="B201" s="7" t="n"/>
      <c r="C201" s="7" t="n"/>
      <c r="D201" s="7" t="n"/>
      <c r="E201" s="9">
        <f>IF(D201="","",IFERROR(VLOOKUP(D201,'Trigger Library'!$B$4:$E$14,2,FALSE),""))</f>
        <v/>
      </c>
      <c r="F201" s="9">
        <f>IF(OR(D201="",H201="",I201=""),0,IFERROR(VLOOKUP(D201,'Trigger Library'!$B$4:$E$14,3,FALSE),0))</f>
        <v/>
      </c>
      <c r="G201" s="7" t="n"/>
      <c r="H201" s="7" t="n"/>
      <c r="I201" s="7" t="n"/>
      <c r="J201" s="9">
        <f>IF(I201="","",TODAY()-I201)</f>
        <v/>
      </c>
      <c r="K201" s="9">
        <f>IF(D201="","",IFERROR(VLOOKUP(D201,'Trigger Library'!$B$4:$E$14,4,FALSE),""))</f>
        <v/>
      </c>
      <c r="L201" s="9">
        <f>IF(OR(J201="",K201=""),"",IF(J201&lt;=K201,"Fresh","Expired"))</f>
        <v/>
      </c>
    </row>
    <row r="202">
      <c r="A202" s="7" t="n"/>
      <c r="B202" s="7" t="n"/>
      <c r="C202" s="7" t="n"/>
      <c r="D202" s="7" t="n"/>
      <c r="E202" s="9">
        <f>IF(D202="","",IFERROR(VLOOKUP(D202,'Trigger Library'!$B$4:$E$14,2,FALSE),""))</f>
        <v/>
      </c>
      <c r="F202" s="9">
        <f>IF(OR(D202="",H202="",I202=""),0,IFERROR(VLOOKUP(D202,'Trigger Library'!$B$4:$E$14,3,FALSE),0))</f>
        <v/>
      </c>
      <c r="G202" s="7" t="n"/>
      <c r="H202" s="7" t="n"/>
      <c r="I202" s="7" t="n"/>
      <c r="J202" s="9">
        <f>IF(I202="","",TODAY()-I202)</f>
        <v/>
      </c>
      <c r="K202" s="9">
        <f>IF(D202="","",IFERROR(VLOOKUP(D202,'Trigger Library'!$B$4:$E$14,4,FALSE),""))</f>
        <v/>
      </c>
      <c r="L202" s="9">
        <f>IF(OR(J202="",K202=""),"",IF(J202&lt;=K202,"Fresh","Expired"))</f>
        <v/>
      </c>
    </row>
    <row r="203">
      <c r="A203" s="7" t="n"/>
      <c r="B203" s="7" t="n"/>
      <c r="C203" s="7" t="n"/>
      <c r="D203" s="7" t="n"/>
      <c r="E203" s="9">
        <f>IF(D203="","",IFERROR(VLOOKUP(D203,'Trigger Library'!$B$4:$E$14,2,FALSE),""))</f>
        <v/>
      </c>
      <c r="F203" s="9">
        <f>IF(OR(D203="",H203="",I203=""),0,IFERROR(VLOOKUP(D203,'Trigger Library'!$B$4:$E$14,3,FALSE),0))</f>
        <v/>
      </c>
      <c r="G203" s="7" t="n"/>
      <c r="H203" s="7" t="n"/>
      <c r="I203" s="7" t="n"/>
      <c r="J203" s="9">
        <f>IF(I203="","",TODAY()-I203)</f>
        <v/>
      </c>
      <c r="K203" s="9">
        <f>IF(D203="","",IFERROR(VLOOKUP(D203,'Trigger Library'!$B$4:$E$14,4,FALSE),""))</f>
        <v/>
      </c>
      <c r="L203" s="9">
        <f>IF(OR(J203="",K203=""),"",IF(J203&lt;=K203,"Fresh","Expired"))</f>
        <v/>
      </c>
    </row>
    <row r="204">
      <c r="A204" s="7" t="n"/>
      <c r="B204" s="7" t="n"/>
      <c r="C204" s="7" t="n"/>
      <c r="D204" s="7" t="n"/>
      <c r="E204" s="9">
        <f>IF(D204="","",IFERROR(VLOOKUP(D204,'Trigger Library'!$B$4:$E$14,2,FALSE),""))</f>
        <v/>
      </c>
      <c r="F204" s="9">
        <f>IF(OR(D204="",H204="",I204=""),0,IFERROR(VLOOKUP(D204,'Trigger Library'!$B$4:$E$14,3,FALSE),0))</f>
        <v/>
      </c>
      <c r="G204" s="7" t="n"/>
      <c r="H204" s="7" t="n"/>
      <c r="I204" s="7" t="n"/>
      <c r="J204" s="9">
        <f>IF(I204="","",TODAY()-I204)</f>
        <v/>
      </c>
      <c r="K204" s="9">
        <f>IF(D204="","",IFERROR(VLOOKUP(D204,'Trigger Library'!$B$4:$E$14,4,FALSE),""))</f>
        <v/>
      </c>
      <c r="L204" s="9">
        <f>IF(OR(J204="",K204=""),"",IF(J204&lt;=K204,"Fresh","Expired"))</f>
        <v/>
      </c>
    </row>
    <row r="205">
      <c r="A205" s="7" t="n"/>
      <c r="B205" s="7" t="n"/>
      <c r="C205" s="7" t="n"/>
      <c r="D205" s="7" t="n"/>
      <c r="E205" s="9">
        <f>IF(D205="","",IFERROR(VLOOKUP(D205,'Trigger Library'!$B$4:$E$14,2,FALSE),""))</f>
        <v/>
      </c>
      <c r="F205" s="9">
        <f>IF(OR(D205="",H205="",I205=""),0,IFERROR(VLOOKUP(D205,'Trigger Library'!$B$4:$E$14,3,FALSE),0))</f>
        <v/>
      </c>
      <c r="G205" s="7" t="n"/>
      <c r="H205" s="7" t="n"/>
      <c r="I205" s="7" t="n"/>
      <c r="J205" s="9">
        <f>IF(I205="","",TODAY()-I205)</f>
        <v/>
      </c>
      <c r="K205" s="9">
        <f>IF(D205="","",IFERROR(VLOOKUP(D205,'Trigger Library'!$B$4:$E$14,4,FALSE),""))</f>
        <v/>
      </c>
      <c r="L205" s="9">
        <f>IF(OR(J205="",K205=""),"",IF(J205&lt;=K205,"Fresh","Expired"))</f>
        <v/>
      </c>
    </row>
    <row r="206">
      <c r="A206" s="7" t="n"/>
      <c r="B206" s="7" t="n"/>
      <c r="C206" s="7" t="n"/>
      <c r="D206" s="7" t="n"/>
      <c r="E206" s="9">
        <f>IF(D206="","",IFERROR(VLOOKUP(D206,'Trigger Library'!$B$4:$E$14,2,FALSE),""))</f>
        <v/>
      </c>
      <c r="F206" s="9">
        <f>IF(OR(D206="",H206="",I206=""),0,IFERROR(VLOOKUP(D206,'Trigger Library'!$B$4:$E$14,3,FALSE),0))</f>
        <v/>
      </c>
      <c r="G206" s="7" t="n"/>
      <c r="H206" s="7" t="n"/>
      <c r="I206" s="7" t="n"/>
      <c r="J206" s="9">
        <f>IF(I206="","",TODAY()-I206)</f>
        <v/>
      </c>
      <c r="K206" s="9">
        <f>IF(D206="","",IFERROR(VLOOKUP(D206,'Trigger Library'!$B$4:$E$14,4,FALSE),""))</f>
        <v/>
      </c>
      <c r="L206" s="9">
        <f>IF(OR(J206="",K206=""),"",IF(J206&lt;=K206,"Fresh","Expired"))</f>
        <v/>
      </c>
    </row>
    <row r="207">
      <c r="A207" s="7" t="n"/>
      <c r="B207" s="7" t="n"/>
      <c r="C207" s="7" t="n"/>
      <c r="D207" s="7" t="n"/>
      <c r="E207" s="9">
        <f>IF(D207="","",IFERROR(VLOOKUP(D207,'Trigger Library'!$B$4:$E$14,2,FALSE),""))</f>
        <v/>
      </c>
      <c r="F207" s="9">
        <f>IF(OR(D207="",H207="",I207=""),0,IFERROR(VLOOKUP(D207,'Trigger Library'!$B$4:$E$14,3,FALSE),0))</f>
        <v/>
      </c>
      <c r="G207" s="7" t="n"/>
      <c r="H207" s="7" t="n"/>
      <c r="I207" s="7" t="n"/>
      <c r="J207" s="9">
        <f>IF(I207="","",TODAY()-I207)</f>
        <v/>
      </c>
      <c r="K207" s="9">
        <f>IF(D207="","",IFERROR(VLOOKUP(D207,'Trigger Library'!$B$4:$E$14,4,FALSE),""))</f>
        <v/>
      </c>
      <c r="L207" s="9">
        <f>IF(OR(J207="",K207=""),"",IF(J207&lt;=K207,"Fresh","Expired"))</f>
        <v/>
      </c>
    </row>
    <row r="208">
      <c r="A208" s="7" t="n"/>
      <c r="B208" s="7" t="n"/>
      <c r="C208" s="7" t="n"/>
      <c r="D208" s="7" t="n"/>
      <c r="E208" s="9">
        <f>IF(D208="","",IFERROR(VLOOKUP(D208,'Trigger Library'!$B$4:$E$14,2,FALSE),""))</f>
        <v/>
      </c>
      <c r="F208" s="9">
        <f>IF(OR(D208="",H208="",I208=""),0,IFERROR(VLOOKUP(D208,'Trigger Library'!$B$4:$E$14,3,FALSE),0))</f>
        <v/>
      </c>
      <c r="G208" s="7" t="n"/>
      <c r="H208" s="7" t="n"/>
      <c r="I208" s="7" t="n"/>
      <c r="J208" s="9">
        <f>IF(I208="","",TODAY()-I208)</f>
        <v/>
      </c>
      <c r="K208" s="9">
        <f>IF(D208="","",IFERROR(VLOOKUP(D208,'Trigger Library'!$B$4:$E$14,4,FALSE),""))</f>
        <v/>
      </c>
      <c r="L208" s="9">
        <f>IF(OR(J208="",K208=""),"",IF(J208&lt;=K208,"Fresh","Expired"))</f>
        <v/>
      </c>
    </row>
    <row r="209">
      <c r="A209" s="7" t="n"/>
      <c r="B209" s="7" t="n"/>
      <c r="C209" s="7" t="n"/>
      <c r="D209" s="7" t="n"/>
      <c r="E209" s="9">
        <f>IF(D209="","",IFERROR(VLOOKUP(D209,'Trigger Library'!$B$4:$E$14,2,FALSE),""))</f>
        <v/>
      </c>
      <c r="F209" s="9">
        <f>IF(OR(D209="",H209="",I209=""),0,IFERROR(VLOOKUP(D209,'Trigger Library'!$B$4:$E$14,3,FALSE),0))</f>
        <v/>
      </c>
      <c r="G209" s="7" t="n"/>
      <c r="H209" s="7" t="n"/>
      <c r="I209" s="7" t="n"/>
      <c r="J209" s="9">
        <f>IF(I209="","",TODAY()-I209)</f>
        <v/>
      </c>
      <c r="K209" s="9">
        <f>IF(D209="","",IFERROR(VLOOKUP(D209,'Trigger Library'!$B$4:$E$14,4,FALSE),""))</f>
        <v/>
      </c>
      <c r="L209" s="9">
        <f>IF(OR(J209="",K209=""),"",IF(J209&lt;=K209,"Fresh","Expired"))</f>
        <v/>
      </c>
    </row>
    <row r="210">
      <c r="A210" s="7" t="n"/>
      <c r="B210" s="7" t="n"/>
      <c r="C210" s="7" t="n"/>
      <c r="D210" s="7" t="n"/>
      <c r="E210" s="9">
        <f>IF(D210="","",IFERROR(VLOOKUP(D210,'Trigger Library'!$B$4:$E$14,2,FALSE),""))</f>
        <v/>
      </c>
      <c r="F210" s="9">
        <f>IF(OR(D210="",H210="",I210=""),0,IFERROR(VLOOKUP(D210,'Trigger Library'!$B$4:$E$14,3,FALSE),0))</f>
        <v/>
      </c>
      <c r="G210" s="7" t="n"/>
      <c r="H210" s="7" t="n"/>
      <c r="I210" s="7" t="n"/>
      <c r="J210" s="9">
        <f>IF(I210="","",TODAY()-I210)</f>
        <v/>
      </c>
      <c r="K210" s="9">
        <f>IF(D210="","",IFERROR(VLOOKUP(D210,'Trigger Library'!$B$4:$E$14,4,FALSE),""))</f>
        <v/>
      </c>
      <c r="L210" s="9">
        <f>IF(OR(J210="",K210=""),"",IF(J210&lt;=K210,"Fresh","Expired"))</f>
        <v/>
      </c>
    </row>
    <row r="211">
      <c r="A211" s="7" t="n"/>
      <c r="B211" s="7" t="n"/>
      <c r="C211" s="7" t="n"/>
      <c r="D211" s="7" t="n"/>
      <c r="E211" s="9">
        <f>IF(D211="","",IFERROR(VLOOKUP(D211,'Trigger Library'!$B$4:$E$14,2,FALSE),""))</f>
        <v/>
      </c>
      <c r="F211" s="9">
        <f>IF(OR(D211="",H211="",I211=""),0,IFERROR(VLOOKUP(D211,'Trigger Library'!$B$4:$E$14,3,FALSE),0))</f>
        <v/>
      </c>
      <c r="G211" s="7" t="n"/>
      <c r="H211" s="7" t="n"/>
      <c r="I211" s="7" t="n"/>
      <c r="J211" s="9">
        <f>IF(I211="","",TODAY()-I211)</f>
        <v/>
      </c>
      <c r="K211" s="9">
        <f>IF(D211="","",IFERROR(VLOOKUP(D211,'Trigger Library'!$B$4:$E$14,4,FALSE),""))</f>
        <v/>
      </c>
      <c r="L211" s="9">
        <f>IF(OR(J211="",K211=""),"",IF(J211&lt;=K211,"Fresh","Expired"))</f>
        <v/>
      </c>
    </row>
    <row r="212">
      <c r="A212" s="7" t="n"/>
      <c r="B212" s="7" t="n"/>
      <c r="C212" s="7" t="n"/>
      <c r="D212" s="7" t="n"/>
      <c r="E212" s="9">
        <f>IF(D212="","",IFERROR(VLOOKUP(D212,'Trigger Library'!$B$4:$E$14,2,FALSE),""))</f>
        <v/>
      </c>
      <c r="F212" s="9">
        <f>IF(OR(D212="",H212="",I212=""),0,IFERROR(VLOOKUP(D212,'Trigger Library'!$B$4:$E$14,3,FALSE),0))</f>
        <v/>
      </c>
      <c r="G212" s="7" t="n"/>
      <c r="H212" s="7" t="n"/>
      <c r="I212" s="7" t="n"/>
      <c r="J212" s="9">
        <f>IF(I212="","",TODAY()-I212)</f>
        <v/>
      </c>
      <c r="K212" s="9">
        <f>IF(D212="","",IFERROR(VLOOKUP(D212,'Trigger Library'!$B$4:$E$14,4,FALSE),""))</f>
        <v/>
      </c>
      <c r="L212" s="9">
        <f>IF(OR(J212="",K212=""),"",IF(J212&lt;=K212,"Fresh","Expired"))</f>
        <v/>
      </c>
    </row>
    <row r="213">
      <c r="A213" s="7" t="n"/>
      <c r="B213" s="7" t="n"/>
      <c r="C213" s="7" t="n"/>
      <c r="D213" s="7" t="n"/>
      <c r="E213" s="9">
        <f>IF(D213="","",IFERROR(VLOOKUP(D213,'Trigger Library'!$B$4:$E$14,2,FALSE),""))</f>
        <v/>
      </c>
      <c r="F213" s="9">
        <f>IF(OR(D213="",H213="",I213=""),0,IFERROR(VLOOKUP(D213,'Trigger Library'!$B$4:$E$14,3,FALSE),0))</f>
        <v/>
      </c>
      <c r="G213" s="7" t="n"/>
      <c r="H213" s="7" t="n"/>
      <c r="I213" s="7" t="n"/>
      <c r="J213" s="9">
        <f>IF(I213="","",TODAY()-I213)</f>
        <v/>
      </c>
      <c r="K213" s="9">
        <f>IF(D213="","",IFERROR(VLOOKUP(D213,'Trigger Library'!$B$4:$E$14,4,FALSE),""))</f>
        <v/>
      </c>
      <c r="L213" s="9">
        <f>IF(OR(J213="",K213=""),"",IF(J213&lt;=K213,"Fresh","Expired"))</f>
        <v/>
      </c>
    </row>
    <row r="214">
      <c r="A214" s="7" t="n"/>
      <c r="B214" s="7" t="n"/>
      <c r="C214" s="7" t="n"/>
      <c r="D214" s="7" t="n"/>
      <c r="E214" s="9">
        <f>IF(D214="","",IFERROR(VLOOKUP(D214,'Trigger Library'!$B$4:$E$14,2,FALSE),""))</f>
        <v/>
      </c>
      <c r="F214" s="9">
        <f>IF(OR(D214="",H214="",I214=""),0,IFERROR(VLOOKUP(D214,'Trigger Library'!$B$4:$E$14,3,FALSE),0))</f>
        <v/>
      </c>
      <c r="G214" s="7" t="n"/>
      <c r="H214" s="7" t="n"/>
      <c r="I214" s="7" t="n"/>
      <c r="J214" s="9">
        <f>IF(I214="","",TODAY()-I214)</f>
        <v/>
      </c>
      <c r="K214" s="9">
        <f>IF(D214="","",IFERROR(VLOOKUP(D214,'Trigger Library'!$B$4:$E$14,4,FALSE),""))</f>
        <v/>
      </c>
      <c r="L214" s="9">
        <f>IF(OR(J214="",K214=""),"",IF(J214&lt;=K214,"Fresh","Expired"))</f>
        <v/>
      </c>
    </row>
    <row r="215">
      <c r="A215" s="7" t="n"/>
      <c r="B215" s="7" t="n"/>
      <c r="C215" s="7" t="n"/>
      <c r="D215" s="7" t="n"/>
      <c r="E215" s="9">
        <f>IF(D215="","",IFERROR(VLOOKUP(D215,'Trigger Library'!$B$4:$E$14,2,FALSE),""))</f>
        <v/>
      </c>
      <c r="F215" s="9">
        <f>IF(OR(D215="",H215="",I215=""),0,IFERROR(VLOOKUP(D215,'Trigger Library'!$B$4:$E$14,3,FALSE),0))</f>
        <v/>
      </c>
      <c r="G215" s="7" t="n"/>
      <c r="H215" s="7" t="n"/>
      <c r="I215" s="7" t="n"/>
      <c r="J215" s="9">
        <f>IF(I215="","",TODAY()-I215)</f>
        <v/>
      </c>
      <c r="K215" s="9">
        <f>IF(D215="","",IFERROR(VLOOKUP(D215,'Trigger Library'!$B$4:$E$14,4,FALSE),""))</f>
        <v/>
      </c>
      <c r="L215" s="9">
        <f>IF(OR(J215="",K215=""),"",IF(J215&lt;=K215,"Fresh","Expired"))</f>
        <v/>
      </c>
    </row>
    <row r="216">
      <c r="A216" s="7" t="n"/>
      <c r="B216" s="7" t="n"/>
      <c r="C216" s="7" t="n"/>
      <c r="D216" s="7" t="n"/>
      <c r="E216" s="9">
        <f>IF(D216="","",IFERROR(VLOOKUP(D216,'Trigger Library'!$B$4:$E$14,2,FALSE),""))</f>
        <v/>
      </c>
      <c r="F216" s="9">
        <f>IF(OR(D216="",H216="",I216=""),0,IFERROR(VLOOKUP(D216,'Trigger Library'!$B$4:$E$14,3,FALSE),0))</f>
        <v/>
      </c>
      <c r="G216" s="7" t="n"/>
      <c r="H216" s="7" t="n"/>
      <c r="I216" s="7" t="n"/>
      <c r="J216" s="9">
        <f>IF(I216="","",TODAY()-I216)</f>
        <v/>
      </c>
      <c r="K216" s="9">
        <f>IF(D216="","",IFERROR(VLOOKUP(D216,'Trigger Library'!$B$4:$E$14,4,FALSE),""))</f>
        <v/>
      </c>
      <c r="L216" s="9">
        <f>IF(OR(J216="",K216=""),"",IF(J216&lt;=K216,"Fresh","Expired"))</f>
        <v/>
      </c>
    </row>
    <row r="217">
      <c r="A217" s="7" t="n"/>
      <c r="B217" s="7" t="n"/>
      <c r="C217" s="7" t="n"/>
      <c r="D217" s="7" t="n"/>
      <c r="E217" s="9">
        <f>IF(D217="","",IFERROR(VLOOKUP(D217,'Trigger Library'!$B$4:$E$14,2,FALSE),""))</f>
        <v/>
      </c>
      <c r="F217" s="9">
        <f>IF(OR(D217="",H217="",I217=""),0,IFERROR(VLOOKUP(D217,'Trigger Library'!$B$4:$E$14,3,FALSE),0))</f>
        <v/>
      </c>
      <c r="G217" s="7" t="n"/>
      <c r="H217" s="7" t="n"/>
      <c r="I217" s="7" t="n"/>
      <c r="J217" s="9">
        <f>IF(I217="","",TODAY()-I217)</f>
        <v/>
      </c>
      <c r="K217" s="9">
        <f>IF(D217="","",IFERROR(VLOOKUP(D217,'Trigger Library'!$B$4:$E$14,4,FALSE),""))</f>
        <v/>
      </c>
      <c r="L217" s="9">
        <f>IF(OR(J217="",K217=""),"",IF(J217&lt;=K217,"Fresh","Expired"))</f>
        <v/>
      </c>
    </row>
    <row r="218">
      <c r="A218" s="7" t="n"/>
      <c r="B218" s="7" t="n"/>
      <c r="C218" s="7" t="n"/>
      <c r="D218" s="7" t="n"/>
      <c r="E218" s="9">
        <f>IF(D218="","",IFERROR(VLOOKUP(D218,'Trigger Library'!$B$4:$E$14,2,FALSE),""))</f>
        <v/>
      </c>
      <c r="F218" s="9">
        <f>IF(OR(D218="",H218="",I218=""),0,IFERROR(VLOOKUP(D218,'Trigger Library'!$B$4:$E$14,3,FALSE),0))</f>
        <v/>
      </c>
      <c r="G218" s="7" t="n"/>
      <c r="H218" s="7" t="n"/>
      <c r="I218" s="7" t="n"/>
      <c r="J218" s="9">
        <f>IF(I218="","",TODAY()-I218)</f>
        <v/>
      </c>
      <c r="K218" s="9">
        <f>IF(D218="","",IFERROR(VLOOKUP(D218,'Trigger Library'!$B$4:$E$14,4,FALSE),""))</f>
        <v/>
      </c>
      <c r="L218" s="9">
        <f>IF(OR(J218="",K218=""),"",IF(J218&lt;=K218,"Fresh","Expired"))</f>
        <v/>
      </c>
    </row>
    <row r="219">
      <c r="A219" s="7" t="n"/>
      <c r="B219" s="7" t="n"/>
      <c r="C219" s="7" t="n"/>
      <c r="D219" s="7" t="n"/>
      <c r="E219" s="9">
        <f>IF(D219="","",IFERROR(VLOOKUP(D219,'Trigger Library'!$B$4:$E$14,2,FALSE),""))</f>
        <v/>
      </c>
      <c r="F219" s="9">
        <f>IF(OR(D219="",H219="",I219=""),0,IFERROR(VLOOKUP(D219,'Trigger Library'!$B$4:$E$14,3,FALSE),0))</f>
        <v/>
      </c>
      <c r="G219" s="7" t="n"/>
      <c r="H219" s="7" t="n"/>
      <c r="I219" s="7" t="n"/>
      <c r="J219" s="9">
        <f>IF(I219="","",TODAY()-I219)</f>
        <v/>
      </c>
      <c r="K219" s="9">
        <f>IF(D219="","",IFERROR(VLOOKUP(D219,'Trigger Library'!$B$4:$E$14,4,FALSE),""))</f>
        <v/>
      </c>
      <c r="L219" s="9">
        <f>IF(OR(J219="",K219=""),"",IF(J219&lt;=K219,"Fresh","Expired"))</f>
        <v/>
      </c>
    </row>
    <row r="220">
      <c r="A220" s="7" t="n"/>
      <c r="B220" s="7" t="n"/>
      <c r="C220" s="7" t="n"/>
      <c r="D220" s="7" t="n"/>
      <c r="E220" s="9">
        <f>IF(D220="","",IFERROR(VLOOKUP(D220,'Trigger Library'!$B$4:$E$14,2,FALSE),""))</f>
        <v/>
      </c>
      <c r="F220" s="9">
        <f>IF(OR(D220="",H220="",I220=""),0,IFERROR(VLOOKUP(D220,'Trigger Library'!$B$4:$E$14,3,FALSE),0))</f>
        <v/>
      </c>
      <c r="G220" s="7" t="n"/>
      <c r="H220" s="7" t="n"/>
      <c r="I220" s="7" t="n"/>
      <c r="J220" s="9">
        <f>IF(I220="","",TODAY()-I220)</f>
        <v/>
      </c>
      <c r="K220" s="9">
        <f>IF(D220="","",IFERROR(VLOOKUP(D220,'Trigger Library'!$B$4:$E$14,4,FALSE),""))</f>
        <v/>
      </c>
      <c r="L220" s="9">
        <f>IF(OR(J220="",K220=""),"",IF(J220&lt;=K220,"Fresh","Expired"))</f>
        <v/>
      </c>
    </row>
    <row r="221">
      <c r="A221" s="7" t="n"/>
      <c r="B221" s="7" t="n"/>
      <c r="C221" s="7" t="n"/>
      <c r="D221" s="7" t="n"/>
      <c r="E221" s="9">
        <f>IF(D221="","",IFERROR(VLOOKUP(D221,'Trigger Library'!$B$4:$E$14,2,FALSE),""))</f>
        <v/>
      </c>
      <c r="F221" s="9">
        <f>IF(OR(D221="",H221="",I221=""),0,IFERROR(VLOOKUP(D221,'Trigger Library'!$B$4:$E$14,3,FALSE),0))</f>
        <v/>
      </c>
      <c r="G221" s="7" t="n"/>
      <c r="H221" s="7" t="n"/>
      <c r="I221" s="7" t="n"/>
      <c r="J221" s="9">
        <f>IF(I221="","",TODAY()-I221)</f>
        <v/>
      </c>
      <c r="K221" s="9">
        <f>IF(D221="","",IFERROR(VLOOKUP(D221,'Trigger Library'!$B$4:$E$14,4,FALSE),""))</f>
        <v/>
      </c>
      <c r="L221" s="9">
        <f>IF(OR(J221="",K221=""),"",IF(J221&lt;=K221,"Fresh","Expired"))</f>
        <v/>
      </c>
    </row>
    <row r="222">
      <c r="A222" s="7" t="n"/>
      <c r="B222" s="7" t="n"/>
      <c r="C222" s="7" t="n"/>
      <c r="D222" s="7" t="n"/>
      <c r="E222" s="9">
        <f>IF(D222="","",IFERROR(VLOOKUP(D222,'Trigger Library'!$B$4:$E$14,2,FALSE),""))</f>
        <v/>
      </c>
      <c r="F222" s="9">
        <f>IF(OR(D222="",H222="",I222=""),0,IFERROR(VLOOKUP(D222,'Trigger Library'!$B$4:$E$14,3,FALSE),0))</f>
        <v/>
      </c>
      <c r="G222" s="7" t="n"/>
      <c r="H222" s="7" t="n"/>
      <c r="I222" s="7" t="n"/>
      <c r="J222" s="9">
        <f>IF(I222="","",TODAY()-I222)</f>
        <v/>
      </c>
      <c r="K222" s="9">
        <f>IF(D222="","",IFERROR(VLOOKUP(D222,'Trigger Library'!$B$4:$E$14,4,FALSE),""))</f>
        <v/>
      </c>
      <c r="L222" s="9">
        <f>IF(OR(J222="",K222=""),"",IF(J222&lt;=K222,"Fresh","Expired"))</f>
        <v/>
      </c>
    </row>
    <row r="223">
      <c r="A223" s="7" t="n"/>
      <c r="B223" s="7" t="n"/>
      <c r="C223" s="7" t="n"/>
      <c r="D223" s="7" t="n"/>
      <c r="E223" s="9">
        <f>IF(D223="","",IFERROR(VLOOKUP(D223,'Trigger Library'!$B$4:$E$14,2,FALSE),""))</f>
        <v/>
      </c>
      <c r="F223" s="9">
        <f>IF(OR(D223="",H223="",I223=""),0,IFERROR(VLOOKUP(D223,'Trigger Library'!$B$4:$E$14,3,FALSE),0))</f>
        <v/>
      </c>
      <c r="G223" s="7" t="n"/>
      <c r="H223" s="7" t="n"/>
      <c r="I223" s="7" t="n"/>
      <c r="J223" s="9">
        <f>IF(I223="","",TODAY()-I223)</f>
        <v/>
      </c>
      <c r="K223" s="9">
        <f>IF(D223="","",IFERROR(VLOOKUP(D223,'Trigger Library'!$B$4:$E$14,4,FALSE),""))</f>
        <v/>
      </c>
      <c r="L223" s="9">
        <f>IF(OR(J223="",K223=""),"",IF(J223&lt;=K223,"Fresh","Expired"))</f>
        <v/>
      </c>
    </row>
    <row r="224">
      <c r="A224" s="7" t="n"/>
      <c r="B224" s="7" t="n"/>
      <c r="C224" s="7" t="n"/>
      <c r="D224" s="7" t="n"/>
      <c r="E224" s="9">
        <f>IF(D224="","",IFERROR(VLOOKUP(D224,'Trigger Library'!$B$4:$E$14,2,FALSE),""))</f>
        <v/>
      </c>
      <c r="F224" s="9">
        <f>IF(OR(D224="",H224="",I224=""),0,IFERROR(VLOOKUP(D224,'Trigger Library'!$B$4:$E$14,3,FALSE),0))</f>
        <v/>
      </c>
      <c r="G224" s="7" t="n"/>
      <c r="H224" s="7" t="n"/>
      <c r="I224" s="7" t="n"/>
      <c r="J224" s="9">
        <f>IF(I224="","",TODAY()-I224)</f>
        <v/>
      </c>
      <c r="K224" s="9">
        <f>IF(D224="","",IFERROR(VLOOKUP(D224,'Trigger Library'!$B$4:$E$14,4,FALSE),""))</f>
        <v/>
      </c>
      <c r="L224" s="9">
        <f>IF(OR(J224="",K224=""),"",IF(J224&lt;=K224,"Fresh","Expired"))</f>
        <v/>
      </c>
    </row>
    <row r="225">
      <c r="A225" s="7" t="n"/>
      <c r="B225" s="7" t="n"/>
      <c r="C225" s="7" t="n"/>
      <c r="D225" s="7" t="n"/>
      <c r="E225" s="9">
        <f>IF(D225="","",IFERROR(VLOOKUP(D225,'Trigger Library'!$B$4:$E$14,2,FALSE),""))</f>
        <v/>
      </c>
      <c r="F225" s="9">
        <f>IF(OR(D225="",H225="",I225=""),0,IFERROR(VLOOKUP(D225,'Trigger Library'!$B$4:$E$14,3,FALSE),0))</f>
        <v/>
      </c>
      <c r="G225" s="7" t="n"/>
      <c r="H225" s="7" t="n"/>
      <c r="I225" s="7" t="n"/>
      <c r="J225" s="9">
        <f>IF(I225="","",TODAY()-I225)</f>
        <v/>
      </c>
      <c r="K225" s="9">
        <f>IF(D225="","",IFERROR(VLOOKUP(D225,'Trigger Library'!$B$4:$E$14,4,FALSE),""))</f>
        <v/>
      </c>
      <c r="L225" s="9">
        <f>IF(OR(J225="",K225=""),"",IF(J225&lt;=K225,"Fresh","Expired"))</f>
        <v/>
      </c>
    </row>
    <row r="226">
      <c r="A226" s="7" t="n"/>
      <c r="B226" s="7" t="n"/>
      <c r="C226" s="7" t="n"/>
      <c r="D226" s="7" t="n"/>
      <c r="E226" s="9">
        <f>IF(D226="","",IFERROR(VLOOKUP(D226,'Trigger Library'!$B$4:$E$14,2,FALSE),""))</f>
        <v/>
      </c>
      <c r="F226" s="9">
        <f>IF(OR(D226="",H226="",I226=""),0,IFERROR(VLOOKUP(D226,'Trigger Library'!$B$4:$E$14,3,FALSE),0))</f>
        <v/>
      </c>
      <c r="G226" s="7" t="n"/>
      <c r="H226" s="7" t="n"/>
      <c r="I226" s="7" t="n"/>
      <c r="J226" s="9">
        <f>IF(I226="","",TODAY()-I226)</f>
        <v/>
      </c>
      <c r="K226" s="9">
        <f>IF(D226="","",IFERROR(VLOOKUP(D226,'Trigger Library'!$B$4:$E$14,4,FALSE),""))</f>
        <v/>
      </c>
      <c r="L226" s="9">
        <f>IF(OR(J226="",K226=""),"",IF(J226&lt;=K226,"Fresh","Expired"))</f>
        <v/>
      </c>
    </row>
    <row r="227">
      <c r="A227" s="7" t="n"/>
      <c r="B227" s="7" t="n"/>
      <c r="C227" s="7" t="n"/>
      <c r="D227" s="7" t="n"/>
      <c r="E227" s="9">
        <f>IF(D227="","",IFERROR(VLOOKUP(D227,'Trigger Library'!$B$4:$E$14,2,FALSE),""))</f>
        <v/>
      </c>
      <c r="F227" s="9">
        <f>IF(OR(D227="",H227="",I227=""),0,IFERROR(VLOOKUP(D227,'Trigger Library'!$B$4:$E$14,3,FALSE),0))</f>
        <v/>
      </c>
      <c r="G227" s="7" t="n"/>
      <c r="H227" s="7" t="n"/>
      <c r="I227" s="7" t="n"/>
      <c r="J227" s="9">
        <f>IF(I227="","",TODAY()-I227)</f>
        <v/>
      </c>
      <c r="K227" s="9">
        <f>IF(D227="","",IFERROR(VLOOKUP(D227,'Trigger Library'!$B$4:$E$14,4,FALSE),""))</f>
        <v/>
      </c>
      <c r="L227" s="9">
        <f>IF(OR(J227="",K227=""),"",IF(J227&lt;=K227,"Fresh","Expired"))</f>
        <v/>
      </c>
    </row>
    <row r="228">
      <c r="A228" s="7" t="n"/>
      <c r="B228" s="7" t="n"/>
      <c r="C228" s="7" t="n"/>
      <c r="D228" s="7" t="n"/>
      <c r="E228" s="9">
        <f>IF(D228="","",IFERROR(VLOOKUP(D228,'Trigger Library'!$B$4:$E$14,2,FALSE),""))</f>
        <v/>
      </c>
      <c r="F228" s="9">
        <f>IF(OR(D228="",H228="",I228=""),0,IFERROR(VLOOKUP(D228,'Trigger Library'!$B$4:$E$14,3,FALSE),0))</f>
        <v/>
      </c>
      <c r="G228" s="7" t="n"/>
      <c r="H228" s="7" t="n"/>
      <c r="I228" s="7" t="n"/>
      <c r="J228" s="9">
        <f>IF(I228="","",TODAY()-I228)</f>
        <v/>
      </c>
      <c r="K228" s="9">
        <f>IF(D228="","",IFERROR(VLOOKUP(D228,'Trigger Library'!$B$4:$E$14,4,FALSE),""))</f>
        <v/>
      </c>
      <c r="L228" s="9">
        <f>IF(OR(J228="",K228=""),"",IF(J228&lt;=K228,"Fresh","Expired"))</f>
        <v/>
      </c>
    </row>
    <row r="229">
      <c r="A229" s="7" t="n"/>
      <c r="B229" s="7" t="n"/>
      <c r="C229" s="7" t="n"/>
      <c r="D229" s="7" t="n"/>
      <c r="E229" s="9">
        <f>IF(D229="","",IFERROR(VLOOKUP(D229,'Trigger Library'!$B$4:$E$14,2,FALSE),""))</f>
        <v/>
      </c>
      <c r="F229" s="9">
        <f>IF(OR(D229="",H229="",I229=""),0,IFERROR(VLOOKUP(D229,'Trigger Library'!$B$4:$E$14,3,FALSE),0))</f>
        <v/>
      </c>
      <c r="G229" s="7" t="n"/>
      <c r="H229" s="7" t="n"/>
      <c r="I229" s="7" t="n"/>
      <c r="J229" s="9">
        <f>IF(I229="","",TODAY()-I229)</f>
        <v/>
      </c>
      <c r="K229" s="9">
        <f>IF(D229="","",IFERROR(VLOOKUP(D229,'Trigger Library'!$B$4:$E$14,4,FALSE),""))</f>
        <v/>
      </c>
      <c r="L229" s="9">
        <f>IF(OR(J229="",K229=""),"",IF(J229&lt;=K229,"Fresh","Expired"))</f>
        <v/>
      </c>
    </row>
    <row r="230">
      <c r="A230" s="7" t="n"/>
      <c r="B230" s="7" t="n"/>
      <c r="C230" s="7" t="n"/>
      <c r="D230" s="7" t="n"/>
      <c r="E230" s="9">
        <f>IF(D230="","",IFERROR(VLOOKUP(D230,'Trigger Library'!$B$4:$E$14,2,FALSE),""))</f>
        <v/>
      </c>
      <c r="F230" s="9">
        <f>IF(OR(D230="",H230="",I230=""),0,IFERROR(VLOOKUP(D230,'Trigger Library'!$B$4:$E$14,3,FALSE),0))</f>
        <v/>
      </c>
      <c r="G230" s="7" t="n"/>
      <c r="H230" s="7" t="n"/>
      <c r="I230" s="7" t="n"/>
      <c r="J230" s="9">
        <f>IF(I230="","",TODAY()-I230)</f>
        <v/>
      </c>
      <c r="K230" s="9">
        <f>IF(D230="","",IFERROR(VLOOKUP(D230,'Trigger Library'!$B$4:$E$14,4,FALSE),""))</f>
        <v/>
      </c>
      <c r="L230" s="9">
        <f>IF(OR(J230="",K230=""),"",IF(J230&lt;=K230,"Fresh","Expired"))</f>
        <v/>
      </c>
    </row>
    <row r="231">
      <c r="A231" s="7" t="n"/>
      <c r="B231" s="7" t="n"/>
      <c r="C231" s="7" t="n"/>
      <c r="D231" s="7" t="n"/>
      <c r="E231" s="9">
        <f>IF(D231="","",IFERROR(VLOOKUP(D231,'Trigger Library'!$B$4:$E$14,2,FALSE),""))</f>
        <v/>
      </c>
      <c r="F231" s="9">
        <f>IF(OR(D231="",H231="",I231=""),0,IFERROR(VLOOKUP(D231,'Trigger Library'!$B$4:$E$14,3,FALSE),0))</f>
        <v/>
      </c>
      <c r="G231" s="7" t="n"/>
      <c r="H231" s="7" t="n"/>
      <c r="I231" s="7" t="n"/>
      <c r="J231" s="9">
        <f>IF(I231="","",TODAY()-I231)</f>
        <v/>
      </c>
      <c r="K231" s="9">
        <f>IF(D231="","",IFERROR(VLOOKUP(D231,'Trigger Library'!$B$4:$E$14,4,FALSE),""))</f>
        <v/>
      </c>
      <c r="L231" s="9">
        <f>IF(OR(J231="",K231=""),"",IF(J231&lt;=K231,"Fresh","Expired"))</f>
        <v/>
      </c>
    </row>
    <row r="232">
      <c r="A232" s="7" t="n"/>
      <c r="B232" s="7" t="n"/>
      <c r="C232" s="7" t="n"/>
      <c r="D232" s="7" t="n"/>
      <c r="E232" s="9">
        <f>IF(D232="","",IFERROR(VLOOKUP(D232,'Trigger Library'!$B$4:$E$14,2,FALSE),""))</f>
        <v/>
      </c>
      <c r="F232" s="9">
        <f>IF(OR(D232="",H232="",I232=""),0,IFERROR(VLOOKUP(D232,'Trigger Library'!$B$4:$E$14,3,FALSE),0))</f>
        <v/>
      </c>
      <c r="G232" s="7" t="n"/>
      <c r="H232" s="7" t="n"/>
      <c r="I232" s="7" t="n"/>
      <c r="J232" s="9">
        <f>IF(I232="","",TODAY()-I232)</f>
        <v/>
      </c>
      <c r="K232" s="9">
        <f>IF(D232="","",IFERROR(VLOOKUP(D232,'Trigger Library'!$B$4:$E$14,4,FALSE),""))</f>
        <v/>
      </c>
      <c r="L232" s="9">
        <f>IF(OR(J232="",K232=""),"",IF(J232&lt;=K232,"Fresh","Expired"))</f>
        <v/>
      </c>
    </row>
    <row r="233">
      <c r="A233" s="7" t="n"/>
      <c r="B233" s="7" t="n"/>
      <c r="C233" s="7" t="n"/>
      <c r="D233" s="7" t="n"/>
      <c r="E233" s="9">
        <f>IF(D233="","",IFERROR(VLOOKUP(D233,'Trigger Library'!$B$4:$E$14,2,FALSE),""))</f>
        <v/>
      </c>
      <c r="F233" s="9">
        <f>IF(OR(D233="",H233="",I233=""),0,IFERROR(VLOOKUP(D233,'Trigger Library'!$B$4:$E$14,3,FALSE),0))</f>
        <v/>
      </c>
      <c r="G233" s="7" t="n"/>
      <c r="H233" s="7" t="n"/>
      <c r="I233" s="7" t="n"/>
      <c r="J233" s="9">
        <f>IF(I233="","",TODAY()-I233)</f>
        <v/>
      </c>
      <c r="K233" s="9">
        <f>IF(D233="","",IFERROR(VLOOKUP(D233,'Trigger Library'!$B$4:$E$14,4,FALSE),""))</f>
        <v/>
      </c>
      <c r="L233" s="9">
        <f>IF(OR(J233="",K233=""),"",IF(J233&lt;=K233,"Fresh","Expired"))</f>
        <v/>
      </c>
    </row>
    <row r="234">
      <c r="A234" s="7" t="n"/>
      <c r="B234" s="7" t="n"/>
      <c r="C234" s="7" t="n"/>
      <c r="D234" s="7" t="n"/>
      <c r="E234" s="9">
        <f>IF(D234="","",IFERROR(VLOOKUP(D234,'Trigger Library'!$B$4:$E$14,2,FALSE),""))</f>
        <v/>
      </c>
      <c r="F234" s="9">
        <f>IF(OR(D234="",H234="",I234=""),0,IFERROR(VLOOKUP(D234,'Trigger Library'!$B$4:$E$14,3,FALSE),0))</f>
        <v/>
      </c>
      <c r="G234" s="7" t="n"/>
      <c r="H234" s="7" t="n"/>
      <c r="I234" s="7" t="n"/>
      <c r="J234" s="9">
        <f>IF(I234="","",TODAY()-I234)</f>
        <v/>
      </c>
      <c r="K234" s="9">
        <f>IF(D234="","",IFERROR(VLOOKUP(D234,'Trigger Library'!$B$4:$E$14,4,FALSE),""))</f>
        <v/>
      </c>
      <c r="L234" s="9">
        <f>IF(OR(J234="",K234=""),"",IF(J234&lt;=K234,"Fresh","Expired"))</f>
        <v/>
      </c>
    </row>
    <row r="235">
      <c r="A235" s="7" t="n"/>
      <c r="B235" s="7" t="n"/>
      <c r="C235" s="7" t="n"/>
      <c r="D235" s="7" t="n"/>
      <c r="E235" s="9">
        <f>IF(D235="","",IFERROR(VLOOKUP(D235,'Trigger Library'!$B$4:$E$14,2,FALSE),""))</f>
        <v/>
      </c>
      <c r="F235" s="9">
        <f>IF(OR(D235="",H235="",I235=""),0,IFERROR(VLOOKUP(D235,'Trigger Library'!$B$4:$E$14,3,FALSE),0))</f>
        <v/>
      </c>
      <c r="G235" s="7" t="n"/>
      <c r="H235" s="7" t="n"/>
      <c r="I235" s="7" t="n"/>
      <c r="J235" s="9">
        <f>IF(I235="","",TODAY()-I235)</f>
        <v/>
      </c>
      <c r="K235" s="9">
        <f>IF(D235="","",IFERROR(VLOOKUP(D235,'Trigger Library'!$B$4:$E$14,4,FALSE),""))</f>
        <v/>
      </c>
      <c r="L235" s="9">
        <f>IF(OR(J235="",K235=""),"",IF(J235&lt;=K235,"Fresh","Expired"))</f>
        <v/>
      </c>
    </row>
    <row r="236">
      <c r="A236" s="7" t="n"/>
      <c r="B236" s="7" t="n"/>
      <c r="C236" s="7" t="n"/>
      <c r="D236" s="7" t="n"/>
      <c r="E236" s="9">
        <f>IF(D236="","",IFERROR(VLOOKUP(D236,'Trigger Library'!$B$4:$E$14,2,FALSE),""))</f>
        <v/>
      </c>
      <c r="F236" s="9">
        <f>IF(OR(D236="",H236="",I236=""),0,IFERROR(VLOOKUP(D236,'Trigger Library'!$B$4:$E$14,3,FALSE),0))</f>
        <v/>
      </c>
      <c r="G236" s="7" t="n"/>
      <c r="H236" s="7" t="n"/>
      <c r="I236" s="7" t="n"/>
      <c r="J236" s="9">
        <f>IF(I236="","",TODAY()-I236)</f>
        <v/>
      </c>
      <c r="K236" s="9">
        <f>IF(D236="","",IFERROR(VLOOKUP(D236,'Trigger Library'!$B$4:$E$14,4,FALSE),""))</f>
        <v/>
      </c>
      <c r="L236" s="9">
        <f>IF(OR(J236="",K236=""),"",IF(J236&lt;=K236,"Fresh","Expired"))</f>
        <v/>
      </c>
    </row>
    <row r="237">
      <c r="A237" s="7" t="n"/>
      <c r="B237" s="7" t="n"/>
      <c r="C237" s="7" t="n"/>
      <c r="D237" s="7" t="n"/>
      <c r="E237" s="9">
        <f>IF(D237="","",IFERROR(VLOOKUP(D237,'Trigger Library'!$B$4:$E$14,2,FALSE),""))</f>
        <v/>
      </c>
      <c r="F237" s="9">
        <f>IF(OR(D237="",H237="",I237=""),0,IFERROR(VLOOKUP(D237,'Trigger Library'!$B$4:$E$14,3,FALSE),0))</f>
        <v/>
      </c>
      <c r="G237" s="7" t="n"/>
      <c r="H237" s="7" t="n"/>
      <c r="I237" s="7" t="n"/>
      <c r="J237" s="9">
        <f>IF(I237="","",TODAY()-I237)</f>
        <v/>
      </c>
      <c r="K237" s="9">
        <f>IF(D237="","",IFERROR(VLOOKUP(D237,'Trigger Library'!$B$4:$E$14,4,FALSE),""))</f>
        <v/>
      </c>
      <c r="L237" s="9">
        <f>IF(OR(J237="",K237=""),"",IF(J237&lt;=K237,"Fresh","Expired"))</f>
        <v/>
      </c>
    </row>
    <row r="238">
      <c r="A238" s="7" t="n"/>
      <c r="B238" s="7" t="n"/>
      <c r="C238" s="7" t="n"/>
      <c r="D238" s="7" t="n"/>
      <c r="E238" s="9">
        <f>IF(D238="","",IFERROR(VLOOKUP(D238,'Trigger Library'!$B$4:$E$14,2,FALSE),""))</f>
        <v/>
      </c>
      <c r="F238" s="9">
        <f>IF(OR(D238="",H238="",I238=""),0,IFERROR(VLOOKUP(D238,'Trigger Library'!$B$4:$E$14,3,FALSE),0))</f>
        <v/>
      </c>
      <c r="G238" s="7" t="n"/>
      <c r="H238" s="7" t="n"/>
      <c r="I238" s="7" t="n"/>
      <c r="J238" s="9">
        <f>IF(I238="","",TODAY()-I238)</f>
        <v/>
      </c>
      <c r="K238" s="9">
        <f>IF(D238="","",IFERROR(VLOOKUP(D238,'Trigger Library'!$B$4:$E$14,4,FALSE),""))</f>
        <v/>
      </c>
      <c r="L238" s="9">
        <f>IF(OR(J238="",K238=""),"",IF(J238&lt;=K238,"Fresh","Expired"))</f>
        <v/>
      </c>
    </row>
    <row r="239">
      <c r="A239" s="7" t="n"/>
      <c r="B239" s="7" t="n"/>
      <c r="C239" s="7" t="n"/>
      <c r="D239" s="7" t="n"/>
      <c r="E239" s="9">
        <f>IF(D239="","",IFERROR(VLOOKUP(D239,'Trigger Library'!$B$4:$E$14,2,FALSE),""))</f>
        <v/>
      </c>
      <c r="F239" s="9">
        <f>IF(OR(D239="",H239="",I239=""),0,IFERROR(VLOOKUP(D239,'Trigger Library'!$B$4:$E$14,3,FALSE),0))</f>
        <v/>
      </c>
      <c r="G239" s="7" t="n"/>
      <c r="H239" s="7" t="n"/>
      <c r="I239" s="7" t="n"/>
      <c r="J239" s="9">
        <f>IF(I239="","",TODAY()-I239)</f>
        <v/>
      </c>
      <c r="K239" s="9">
        <f>IF(D239="","",IFERROR(VLOOKUP(D239,'Trigger Library'!$B$4:$E$14,4,FALSE),""))</f>
        <v/>
      </c>
      <c r="L239" s="9">
        <f>IF(OR(J239="",K239=""),"",IF(J239&lt;=K239,"Fresh","Expired"))</f>
        <v/>
      </c>
    </row>
    <row r="240">
      <c r="A240" s="7" t="n"/>
      <c r="B240" s="7" t="n"/>
      <c r="C240" s="7" t="n"/>
      <c r="D240" s="7" t="n"/>
      <c r="E240" s="9">
        <f>IF(D240="","",IFERROR(VLOOKUP(D240,'Trigger Library'!$B$4:$E$14,2,FALSE),""))</f>
        <v/>
      </c>
      <c r="F240" s="9">
        <f>IF(OR(D240="",H240="",I240=""),0,IFERROR(VLOOKUP(D240,'Trigger Library'!$B$4:$E$14,3,FALSE),0))</f>
        <v/>
      </c>
      <c r="G240" s="7" t="n"/>
      <c r="H240" s="7" t="n"/>
      <c r="I240" s="7" t="n"/>
      <c r="J240" s="9">
        <f>IF(I240="","",TODAY()-I240)</f>
        <v/>
      </c>
      <c r="K240" s="9">
        <f>IF(D240="","",IFERROR(VLOOKUP(D240,'Trigger Library'!$B$4:$E$14,4,FALSE),""))</f>
        <v/>
      </c>
      <c r="L240" s="9">
        <f>IF(OR(J240="",K240=""),"",IF(J240&lt;=K240,"Fresh","Expired"))</f>
        <v/>
      </c>
    </row>
    <row r="241">
      <c r="A241" s="7" t="n"/>
      <c r="B241" s="7" t="n"/>
      <c r="C241" s="7" t="n"/>
      <c r="D241" s="7" t="n"/>
      <c r="E241" s="9">
        <f>IF(D241="","",IFERROR(VLOOKUP(D241,'Trigger Library'!$B$4:$E$14,2,FALSE),""))</f>
        <v/>
      </c>
      <c r="F241" s="9">
        <f>IF(OR(D241="",H241="",I241=""),0,IFERROR(VLOOKUP(D241,'Trigger Library'!$B$4:$E$14,3,FALSE),0))</f>
        <v/>
      </c>
      <c r="G241" s="7" t="n"/>
      <c r="H241" s="7" t="n"/>
      <c r="I241" s="7" t="n"/>
      <c r="J241" s="9">
        <f>IF(I241="","",TODAY()-I241)</f>
        <v/>
      </c>
      <c r="K241" s="9">
        <f>IF(D241="","",IFERROR(VLOOKUP(D241,'Trigger Library'!$B$4:$E$14,4,FALSE),""))</f>
        <v/>
      </c>
      <c r="L241" s="9">
        <f>IF(OR(J241="",K241=""),"",IF(J241&lt;=K241,"Fresh","Expired"))</f>
        <v/>
      </c>
    </row>
    <row r="242">
      <c r="A242" s="7" t="n"/>
      <c r="B242" s="7" t="n"/>
      <c r="C242" s="7" t="n"/>
      <c r="D242" s="7" t="n"/>
      <c r="E242" s="9">
        <f>IF(D242="","",IFERROR(VLOOKUP(D242,'Trigger Library'!$B$4:$E$14,2,FALSE),""))</f>
        <v/>
      </c>
      <c r="F242" s="9">
        <f>IF(OR(D242="",H242="",I242=""),0,IFERROR(VLOOKUP(D242,'Trigger Library'!$B$4:$E$14,3,FALSE),0))</f>
        <v/>
      </c>
      <c r="G242" s="7" t="n"/>
      <c r="H242" s="7" t="n"/>
      <c r="I242" s="7" t="n"/>
      <c r="J242" s="9">
        <f>IF(I242="","",TODAY()-I242)</f>
        <v/>
      </c>
      <c r="K242" s="9">
        <f>IF(D242="","",IFERROR(VLOOKUP(D242,'Trigger Library'!$B$4:$E$14,4,FALSE),""))</f>
        <v/>
      </c>
      <c r="L242" s="9">
        <f>IF(OR(J242="",K242=""),"",IF(J242&lt;=K242,"Fresh","Expired"))</f>
        <v/>
      </c>
    </row>
    <row r="243">
      <c r="A243" s="7" t="n"/>
      <c r="B243" s="7" t="n"/>
      <c r="C243" s="7" t="n"/>
      <c r="D243" s="7" t="n"/>
      <c r="E243" s="9">
        <f>IF(D243="","",IFERROR(VLOOKUP(D243,'Trigger Library'!$B$4:$E$14,2,FALSE),""))</f>
        <v/>
      </c>
      <c r="F243" s="9">
        <f>IF(OR(D243="",H243="",I243=""),0,IFERROR(VLOOKUP(D243,'Trigger Library'!$B$4:$E$14,3,FALSE),0))</f>
        <v/>
      </c>
      <c r="G243" s="7" t="n"/>
      <c r="H243" s="7" t="n"/>
      <c r="I243" s="7" t="n"/>
      <c r="J243" s="9">
        <f>IF(I243="","",TODAY()-I243)</f>
        <v/>
      </c>
      <c r="K243" s="9">
        <f>IF(D243="","",IFERROR(VLOOKUP(D243,'Trigger Library'!$B$4:$E$14,4,FALSE),""))</f>
        <v/>
      </c>
      <c r="L243" s="9">
        <f>IF(OR(J243="",K243=""),"",IF(J243&lt;=K243,"Fresh","Expired"))</f>
        <v/>
      </c>
    </row>
    <row r="244">
      <c r="A244" s="7" t="n"/>
      <c r="B244" s="7" t="n"/>
      <c r="C244" s="7" t="n"/>
      <c r="D244" s="7" t="n"/>
      <c r="E244" s="9">
        <f>IF(D244="","",IFERROR(VLOOKUP(D244,'Trigger Library'!$B$4:$E$14,2,FALSE),""))</f>
        <v/>
      </c>
      <c r="F244" s="9">
        <f>IF(OR(D244="",H244="",I244=""),0,IFERROR(VLOOKUP(D244,'Trigger Library'!$B$4:$E$14,3,FALSE),0))</f>
        <v/>
      </c>
      <c r="G244" s="7" t="n"/>
      <c r="H244" s="7" t="n"/>
      <c r="I244" s="7" t="n"/>
      <c r="J244" s="9">
        <f>IF(I244="","",TODAY()-I244)</f>
        <v/>
      </c>
      <c r="K244" s="9">
        <f>IF(D244="","",IFERROR(VLOOKUP(D244,'Trigger Library'!$B$4:$E$14,4,FALSE),""))</f>
        <v/>
      </c>
      <c r="L244" s="9">
        <f>IF(OR(J244="",K244=""),"",IF(J244&lt;=K244,"Fresh","Expired"))</f>
        <v/>
      </c>
    </row>
    <row r="245">
      <c r="A245" s="7" t="n"/>
      <c r="B245" s="7" t="n"/>
      <c r="C245" s="7" t="n"/>
      <c r="D245" s="7" t="n"/>
      <c r="E245" s="9">
        <f>IF(D245="","",IFERROR(VLOOKUP(D245,'Trigger Library'!$B$4:$E$14,2,FALSE),""))</f>
        <v/>
      </c>
      <c r="F245" s="9">
        <f>IF(OR(D245="",H245="",I245=""),0,IFERROR(VLOOKUP(D245,'Trigger Library'!$B$4:$E$14,3,FALSE),0))</f>
        <v/>
      </c>
      <c r="G245" s="7" t="n"/>
      <c r="H245" s="7" t="n"/>
      <c r="I245" s="7" t="n"/>
      <c r="J245" s="9">
        <f>IF(I245="","",TODAY()-I245)</f>
        <v/>
      </c>
      <c r="K245" s="9">
        <f>IF(D245="","",IFERROR(VLOOKUP(D245,'Trigger Library'!$B$4:$E$14,4,FALSE),""))</f>
        <v/>
      </c>
      <c r="L245" s="9">
        <f>IF(OR(J245="",K245=""),"",IF(J245&lt;=K245,"Fresh","Expired"))</f>
        <v/>
      </c>
    </row>
    <row r="246">
      <c r="A246" s="7" t="n"/>
      <c r="B246" s="7" t="n"/>
      <c r="C246" s="7" t="n"/>
      <c r="D246" s="7" t="n"/>
      <c r="E246" s="9">
        <f>IF(D246="","",IFERROR(VLOOKUP(D246,'Trigger Library'!$B$4:$E$14,2,FALSE),""))</f>
        <v/>
      </c>
      <c r="F246" s="9">
        <f>IF(OR(D246="",H246="",I246=""),0,IFERROR(VLOOKUP(D246,'Trigger Library'!$B$4:$E$14,3,FALSE),0))</f>
        <v/>
      </c>
      <c r="G246" s="7" t="n"/>
      <c r="H246" s="7" t="n"/>
      <c r="I246" s="7" t="n"/>
      <c r="J246" s="9">
        <f>IF(I246="","",TODAY()-I246)</f>
        <v/>
      </c>
      <c r="K246" s="9">
        <f>IF(D246="","",IFERROR(VLOOKUP(D246,'Trigger Library'!$B$4:$E$14,4,FALSE),""))</f>
        <v/>
      </c>
      <c r="L246" s="9">
        <f>IF(OR(J246="",K246=""),"",IF(J246&lt;=K246,"Fresh","Expired"))</f>
        <v/>
      </c>
    </row>
    <row r="247">
      <c r="A247" s="7" t="n"/>
      <c r="B247" s="7" t="n"/>
      <c r="C247" s="7" t="n"/>
      <c r="D247" s="7" t="n"/>
      <c r="E247" s="9">
        <f>IF(D247="","",IFERROR(VLOOKUP(D247,'Trigger Library'!$B$4:$E$14,2,FALSE),""))</f>
        <v/>
      </c>
      <c r="F247" s="9">
        <f>IF(OR(D247="",H247="",I247=""),0,IFERROR(VLOOKUP(D247,'Trigger Library'!$B$4:$E$14,3,FALSE),0))</f>
        <v/>
      </c>
      <c r="G247" s="7" t="n"/>
      <c r="H247" s="7" t="n"/>
      <c r="I247" s="7" t="n"/>
      <c r="J247" s="9">
        <f>IF(I247="","",TODAY()-I247)</f>
        <v/>
      </c>
      <c r="K247" s="9">
        <f>IF(D247="","",IFERROR(VLOOKUP(D247,'Trigger Library'!$B$4:$E$14,4,FALSE),""))</f>
        <v/>
      </c>
      <c r="L247" s="9">
        <f>IF(OR(J247="",K247=""),"",IF(J247&lt;=K247,"Fresh","Expired"))</f>
        <v/>
      </c>
    </row>
    <row r="248">
      <c r="A248" s="7" t="n"/>
      <c r="B248" s="7" t="n"/>
      <c r="C248" s="7" t="n"/>
      <c r="D248" s="7" t="n"/>
      <c r="E248" s="9">
        <f>IF(D248="","",IFERROR(VLOOKUP(D248,'Trigger Library'!$B$4:$E$14,2,FALSE),""))</f>
        <v/>
      </c>
      <c r="F248" s="9">
        <f>IF(OR(D248="",H248="",I248=""),0,IFERROR(VLOOKUP(D248,'Trigger Library'!$B$4:$E$14,3,FALSE),0))</f>
        <v/>
      </c>
      <c r="G248" s="7" t="n"/>
      <c r="H248" s="7" t="n"/>
      <c r="I248" s="7" t="n"/>
      <c r="J248" s="9">
        <f>IF(I248="","",TODAY()-I248)</f>
        <v/>
      </c>
      <c r="K248" s="9">
        <f>IF(D248="","",IFERROR(VLOOKUP(D248,'Trigger Library'!$B$4:$E$14,4,FALSE),""))</f>
        <v/>
      </c>
      <c r="L248" s="9">
        <f>IF(OR(J248="",K248=""),"",IF(J248&lt;=K248,"Fresh","Expired"))</f>
        <v/>
      </c>
    </row>
    <row r="249">
      <c r="A249" s="7" t="n"/>
      <c r="B249" s="7" t="n"/>
      <c r="C249" s="7" t="n"/>
      <c r="D249" s="7" t="n"/>
      <c r="E249" s="9">
        <f>IF(D249="","",IFERROR(VLOOKUP(D249,'Trigger Library'!$B$4:$E$14,2,FALSE),""))</f>
        <v/>
      </c>
      <c r="F249" s="9">
        <f>IF(OR(D249="",H249="",I249=""),0,IFERROR(VLOOKUP(D249,'Trigger Library'!$B$4:$E$14,3,FALSE),0))</f>
        <v/>
      </c>
      <c r="G249" s="7" t="n"/>
      <c r="H249" s="7" t="n"/>
      <c r="I249" s="7" t="n"/>
      <c r="J249" s="9">
        <f>IF(I249="","",TODAY()-I249)</f>
        <v/>
      </c>
      <c r="K249" s="9">
        <f>IF(D249="","",IFERROR(VLOOKUP(D249,'Trigger Library'!$B$4:$E$14,4,FALSE),""))</f>
        <v/>
      </c>
      <c r="L249" s="9">
        <f>IF(OR(J249="",K249=""),"",IF(J249&lt;=K249,"Fresh","Expired"))</f>
        <v/>
      </c>
    </row>
    <row r="250">
      <c r="A250" s="7" t="n"/>
      <c r="B250" s="7" t="n"/>
      <c r="C250" s="7" t="n"/>
      <c r="D250" s="7" t="n"/>
      <c r="E250" s="9">
        <f>IF(D250="","",IFERROR(VLOOKUP(D250,'Trigger Library'!$B$4:$E$14,2,FALSE),""))</f>
        <v/>
      </c>
      <c r="F250" s="9">
        <f>IF(OR(D250="",H250="",I250=""),0,IFERROR(VLOOKUP(D250,'Trigger Library'!$B$4:$E$14,3,FALSE),0))</f>
        <v/>
      </c>
      <c r="G250" s="7" t="n"/>
      <c r="H250" s="7" t="n"/>
      <c r="I250" s="7" t="n"/>
      <c r="J250" s="9">
        <f>IF(I250="","",TODAY()-I250)</f>
        <v/>
      </c>
      <c r="K250" s="9">
        <f>IF(D250="","",IFERROR(VLOOKUP(D250,'Trigger Library'!$B$4:$E$14,4,FALSE),""))</f>
        <v/>
      </c>
      <c r="L250" s="9">
        <f>IF(OR(J250="",K250=""),"",IF(J250&lt;=K250,"Fresh","Expired"))</f>
        <v/>
      </c>
    </row>
    <row r="251">
      <c r="A251" s="7" t="n"/>
      <c r="B251" s="7" t="n"/>
      <c r="C251" s="7" t="n"/>
      <c r="D251" s="7" t="n"/>
      <c r="E251" s="9">
        <f>IF(D251="","",IFERROR(VLOOKUP(D251,'Trigger Library'!$B$4:$E$14,2,FALSE),""))</f>
        <v/>
      </c>
      <c r="F251" s="9">
        <f>IF(OR(D251="",H251="",I251=""),0,IFERROR(VLOOKUP(D251,'Trigger Library'!$B$4:$E$14,3,FALSE),0))</f>
        <v/>
      </c>
      <c r="G251" s="7" t="n"/>
      <c r="H251" s="7" t="n"/>
      <c r="I251" s="7" t="n"/>
      <c r="J251" s="9">
        <f>IF(I251="","",TODAY()-I251)</f>
        <v/>
      </c>
      <c r="K251" s="9">
        <f>IF(D251="","",IFERROR(VLOOKUP(D251,'Trigger Library'!$B$4:$E$14,4,FALSE),""))</f>
        <v/>
      </c>
      <c r="L251" s="9">
        <f>IF(OR(J251="",K251=""),"",IF(J251&lt;=K251,"Fresh","Expired"))</f>
        <v/>
      </c>
    </row>
    <row r="252">
      <c r="A252" s="7" t="n"/>
      <c r="B252" s="7" t="n"/>
      <c r="C252" s="7" t="n"/>
      <c r="D252" s="7" t="n"/>
      <c r="E252" s="9">
        <f>IF(D252="","",IFERROR(VLOOKUP(D252,'Trigger Library'!$B$4:$E$14,2,FALSE),""))</f>
        <v/>
      </c>
      <c r="F252" s="9">
        <f>IF(OR(D252="",H252="",I252=""),0,IFERROR(VLOOKUP(D252,'Trigger Library'!$B$4:$E$14,3,FALSE),0))</f>
        <v/>
      </c>
      <c r="G252" s="7" t="n"/>
      <c r="H252" s="7" t="n"/>
      <c r="I252" s="7" t="n"/>
      <c r="J252" s="9">
        <f>IF(I252="","",TODAY()-I252)</f>
        <v/>
      </c>
      <c r="K252" s="9">
        <f>IF(D252="","",IFERROR(VLOOKUP(D252,'Trigger Library'!$B$4:$E$14,4,FALSE),""))</f>
        <v/>
      </c>
      <c r="L252" s="9">
        <f>IF(OR(J252="",K252=""),"",IF(J252&lt;=K252,"Fresh","Expired"))</f>
        <v/>
      </c>
    </row>
    <row r="253">
      <c r="A253" s="7" t="n"/>
      <c r="B253" s="7" t="n"/>
      <c r="C253" s="7" t="n"/>
      <c r="D253" s="7" t="n"/>
      <c r="E253" s="9">
        <f>IF(D253="","",IFERROR(VLOOKUP(D253,'Trigger Library'!$B$4:$E$14,2,FALSE),""))</f>
        <v/>
      </c>
      <c r="F253" s="9">
        <f>IF(OR(D253="",H253="",I253=""),0,IFERROR(VLOOKUP(D253,'Trigger Library'!$B$4:$E$14,3,FALSE),0))</f>
        <v/>
      </c>
      <c r="G253" s="7" t="n"/>
      <c r="H253" s="7" t="n"/>
      <c r="I253" s="7" t="n"/>
      <c r="J253" s="9">
        <f>IF(I253="","",TODAY()-I253)</f>
        <v/>
      </c>
      <c r="K253" s="9">
        <f>IF(D253="","",IFERROR(VLOOKUP(D253,'Trigger Library'!$B$4:$E$14,4,FALSE),""))</f>
        <v/>
      </c>
      <c r="L253" s="9">
        <f>IF(OR(J253="",K253=""),"",IF(J253&lt;=K253,"Fresh","Expired"))</f>
        <v/>
      </c>
    </row>
    <row r="254">
      <c r="A254" s="7" t="n"/>
      <c r="B254" s="7" t="n"/>
      <c r="C254" s="7" t="n"/>
      <c r="D254" s="7" t="n"/>
      <c r="E254" s="9">
        <f>IF(D254="","",IFERROR(VLOOKUP(D254,'Trigger Library'!$B$4:$E$14,2,FALSE),""))</f>
        <v/>
      </c>
      <c r="F254" s="9">
        <f>IF(OR(D254="",H254="",I254=""),0,IFERROR(VLOOKUP(D254,'Trigger Library'!$B$4:$E$14,3,FALSE),0))</f>
        <v/>
      </c>
      <c r="G254" s="7" t="n"/>
      <c r="H254" s="7" t="n"/>
      <c r="I254" s="7" t="n"/>
      <c r="J254" s="9">
        <f>IF(I254="","",TODAY()-I254)</f>
        <v/>
      </c>
      <c r="K254" s="9">
        <f>IF(D254="","",IFERROR(VLOOKUP(D254,'Trigger Library'!$B$4:$E$14,4,FALSE),""))</f>
        <v/>
      </c>
      <c r="L254" s="9">
        <f>IF(OR(J254="",K254=""),"",IF(J254&lt;=K254,"Fresh","Expired"))</f>
        <v/>
      </c>
    </row>
    <row r="255">
      <c r="A255" s="7" t="n"/>
      <c r="B255" s="7" t="n"/>
      <c r="C255" s="7" t="n"/>
      <c r="D255" s="7" t="n"/>
      <c r="E255" s="9">
        <f>IF(D255="","",IFERROR(VLOOKUP(D255,'Trigger Library'!$B$4:$E$14,2,FALSE),""))</f>
        <v/>
      </c>
      <c r="F255" s="9">
        <f>IF(OR(D255="",H255="",I255=""),0,IFERROR(VLOOKUP(D255,'Trigger Library'!$B$4:$E$14,3,FALSE),0))</f>
        <v/>
      </c>
      <c r="G255" s="7" t="n"/>
      <c r="H255" s="7" t="n"/>
      <c r="I255" s="7" t="n"/>
      <c r="J255" s="9">
        <f>IF(I255="","",TODAY()-I255)</f>
        <v/>
      </c>
      <c r="K255" s="9">
        <f>IF(D255="","",IFERROR(VLOOKUP(D255,'Trigger Library'!$B$4:$E$14,4,FALSE),""))</f>
        <v/>
      </c>
      <c r="L255" s="9">
        <f>IF(OR(J255="",K255=""),"",IF(J255&lt;=K255,"Fresh","Expired"))</f>
        <v/>
      </c>
    </row>
    <row r="256">
      <c r="A256" s="7" t="n"/>
      <c r="B256" s="7" t="n"/>
      <c r="C256" s="7" t="n"/>
      <c r="D256" s="7" t="n"/>
      <c r="E256" s="9">
        <f>IF(D256="","",IFERROR(VLOOKUP(D256,'Trigger Library'!$B$4:$E$14,2,FALSE),""))</f>
        <v/>
      </c>
      <c r="F256" s="9">
        <f>IF(OR(D256="",H256="",I256=""),0,IFERROR(VLOOKUP(D256,'Trigger Library'!$B$4:$E$14,3,FALSE),0))</f>
        <v/>
      </c>
      <c r="G256" s="7" t="n"/>
      <c r="H256" s="7" t="n"/>
      <c r="I256" s="7" t="n"/>
      <c r="J256" s="9">
        <f>IF(I256="","",TODAY()-I256)</f>
        <v/>
      </c>
      <c r="K256" s="9">
        <f>IF(D256="","",IFERROR(VLOOKUP(D256,'Trigger Library'!$B$4:$E$14,4,FALSE),""))</f>
        <v/>
      </c>
      <c r="L256" s="9">
        <f>IF(OR(J256="",K256=""),"",IF(J256&lt;=K256,"Fresh","Expired"))</f>
        <v/>
      </c>
    </row>
    <row r="257">
      <c r="A257" s="7" t="n"/>
      <c r="B257" s="7" t="n"/>
      <c r="C257" s="7" t="n"/>
      <c r="D257" s="7" t="n"/>
      <c r="E257" s="9">
        <f>IF(D257="","",IFERROR(VLOOKUP(D257,'Trigger Library'!$B$4:$E$14,2,FALSE),""))</f>
        <v/>
      </c>
      <c r="F257" s="9">
        <f>IF(OR(D257="",H257="",I257=""),0,IFERROR(VLOOKUP(D257,'Trigger Library'!$B$4:$E$14,3,FALSE),0))</f>
        <v/>
      </c>
      <c r="G257" s="7" t="n"/>
      <c r="H257" s="7" t="n"/>
      <c r="I257" s="7" t="n"/>
      <c r="J257" s="9">
        <f>IF(I257="","",TODAY()-I257)</f>
        <v/>
      </c>
      <c r="K257" s="9">
        <f>IF(D257="","",IFERROR(VLOOKUP(D257,'Trigger Library'!$B$4:$E$14,4,FALSE),""))</f>
        <v/>
      </c>
      <c r="L257" s="9">
        <f>IF(OR(J257="",K257=""),"",IF(J257&lt;=K257,"Fresh","Expired"))</f>
        <v/>
      </c>
    </row>
    <row r="258">
      <c r="A258" s="7" t="n"/>
      <c r="B258" s="7" t="n"/>
      <c r="C258" s="7" t="n"/>
      <c r="D258" s="7" t="n"/>
      <c r="E258" s="9">
        <f>IF(D258="","",IFERROR(VLOOKUP(D258,'Trigger Library'!$B$4:$E$14,2,FALSE),""))</f>
        <v/>
      </c>
      <c r="F258" s="9">
        <f>IF(OR(D258="",H258="",I258=""),0,IFERROR(VLOOKUP(D258,'Trigger Library'!$B$4:$E$14,3,FALSE),0))</f>
        <v/>
      </c>
      <c r="G258" s="7" t="n"/>
      <c r="H258" s="7" t="n"/>
      <c r="I258" s="7" t="n"/>
      <c r="J258" s="9">
        <f>IF(I258="","",TODAY()-I258)</f>
        <v/>
      </c>
      <c r="K258" s="9">
        <f>IF(D258="","",IFERROR(VLOOKUP(D258,'Trigger Library'!$B$4:$E$14,4,FALSE),""))</f>
        <v/>
      </c>
      <c r="L258" s="9">
        <f>IF(OR(J258="",K258=""),"",IF(J258&lt;=K258,"Fresh","Expired"))</f>
        <v/>
      </c>
    </row>
    <row r="259">
      <c r="A259" s="7" t="n"/>
      <c r="B259" s="7" t="n"/>
      <c r="C259" s="7" t="n"/>
      <c r="D259" s="7" t="n"/>
      <c r="E259" s="9">
        <f>IF(D259="","",IFERROR(VLOOKUP(D259,'Trigger Library'!$B$4:$E$14,2,FALSE),""))</f>
        <v/>
      </c>
      <c r="F259" s="9">
        <f>IF(OR(D259="",H259="",I259=""),0,IFERROR(VLOOKUP(D259,'Trigger Library'!$B$4:$E$14,3,FALSE),0))</f>
        <v/>
      </c>
      <c r="G259" s="7" t="n"/>
      <c r="H259" s="7" t="n"/>
      <c r="I259" s="7" t="n"/>
      <c r="J259" s="9">
        <f>IF(I259="","",TODAY()-I259)</f>
        <v/>
      </c>
      <c r="K259" s="9">
        <f>IF(D259="","",IFERROR(VLOOKUP(D259,'Trigger Library'!$B$4:$E$14,4,FALSE),""))</f>
        <v/>
      </c>
      <c r="L259" s="9">
        <f>IF(OR(J259="",K259=""),"",IF(J259&lt;=K259,"Fresh","Expired"))</f>
        <v/>
      </c>
    </row>
    <row r="260">
      <c r="A260" s="7" t="n"/>
      <c r="B260" s="7" t="n"/>
      <c r="C260" s="7" t="n"/>
      <c r="D260" s="7" t="n"/>
      <c r="E260" s="9">
        <f>IF(D260="","",IFERROR(VLOOKUP(D260,'Trigger Library'!$B$4:$E$14,2,FALSE),""))</f>
        <v/>
      </c>
      <c r="F260" s="9">
        <f>IF(OR(D260="",H260="",I260=""),0,IFERROR(VLOOKUP(D260,'Trigger Library'!$B$4:$E$14,3,FALSE),0))</f>
        <v/>
      </c>
      <c r="G260" s="7" t="n"/>
      <c r="H260" s="7" t="n"/>
      <c r="I260" s="7" t="n"/>
      <c r="J260" s="9">
        <f>IF(I260="","",TODAY()-I260)</f>
        <v/>
      </c>
      <c r="K260" s="9">
        <f>IF(D260="","",IFERROR(VLOOKUP(D260,'Trigger Library'!$B$4:$E$14,4,FALSE),""))</f>
        <v/>
      </c>
      <c r="L260" s="9">
        <f>IF(OR(J260="",K260=""),"",IF(J260&lt;=K260,"Fresh","Expired"))</f>
        <v/>
      </c>
    </row>
    <row r="261">
      <c r="A261" s="7" t="n"/>
      <c r="B261" s="7" t="n"/>
      <c r="C261" s="7" t="n"/>
      <c r="D261" s="7" t="n"/>
      <c r="E261" s="9">
        <f>IF(D261="","",IFERROR(VLOOKUP(D261,'Trigger Library'!$B$4:$E$14,2,FALSE),""))</f>
        <v/>
      </c>
      <c r="F261" s="9">
        <f>IF(OR(D261="",H261="",I261=""),0,IFERROR(VLOOKUP(D261,'Trigger Library'!$B$4:$E$14,3,FALSE),0))</f>
        <v/>
      </c>
      <c r="G261" s="7" t="n"/>
      <c r="H261" s="7" t="n"/>
      <c r="I261" s="7" t="n"/>
      <c r="J261" s="9">
        <f>IF(I261="","",TODAY()-I261)</f>
        <v/>
      </c>
      <c r="K261" s="9">
        <f>IF(D261="","",IFERROR(VLOOKUP(D261,'Trigger Library'!$B$4:$E$14,4,FALSE),""))</f>
        <v/>
      </c>
      <c r="L261" s="9">
        <f>IF(OR(J261="",K261=""),"",IF(J261&lt;=K261,"Fresh","Expired"))</f>
        <v/>
      </c>
    </row>
    <row r="262">
      <c r="A262" s="7" t="n"/>
      <c r="B262" s="7" t="n"/>
      <c r="C262" s="7" t="n"/>
      <c r="D262" s="7" t="n"/>
      <c r="E262" s="9">
        <f>IF(D262="","",IFERROR(VLOOKUP(D262,'Trigger Library'!$B$4:$E$14,2,FALSE),""))</f>
        <v/>
      </c>
      <c r="F262" s="9">
        <f>IF(OR(D262="",H262="",I262=""),0,IFERROR(VLOOKUP(D262,'Trigger Library'!$B$4:$E$14,3,FALSE),0))</f>
        <v/>
      </c>
      <c r="G262" s="7" t="n"/>
      <c r="H262" s="7" t="n"/>
      <c r="I262" s="7" t="n"/>
      <c r="J262" s="9">
        <f>IF(I262="","",TODAY()-I262)</f>
        <v/>
      </c>
      <c r="K262" s="9">
        <f>IF(D262="","",IFERROR(VLOOKUP(D262,'Trigger Library'!$B$4:$E$14,4,FALSE),""))</f>
        <v/>
      </c>
      <c r="L262" s="9">
        <f>IF(OR(J262="",K262=""),"",IF(J262&lt;=K262,"Fresh","Expired"))</f>
        <v/>
      </c>
    </row>
    <row r="263">
      <c r="A263" s="7" t="n"/>
      <c r="B263" s="7" t="n"/>
      <c r="C263" s="7" t="n"/>
      <c r="D263" s="7" t="n"/>
      <c r="E263" s="9">
        <f>IF(D263="","",IFERROR(VLOOKUP(D263,'Trigger Library'!$B$4:$E$14,2,FALSE),""))</f>
        <v/>
      </c>
      <c r="F263" s="9">
        <f>IF(OR(D263="",H263="",I263=""),0,IFERROR(VLOOKUP(D263,'Trigger Library'!$B$4:$E$14,3,FALSE),0))</f>
        <v/>
      </c>
      <c r="G263" s="7" t="n"/>
      <c r="H263" s="7" t="n"/>
      <c r="I263" s="7" t="n"/>
      <c r="J263" s="9">
        <f>IF(I263="","",TODAY()-I263)</f>
        <v/>
      </c>
      <c r="K263" s="9">
        <f>IF(D263="","",IFERROR(VLOOKUP(D263,'Trigger Library'!$B$4:$E$14,4,FALSE),""))</f>
        <v/>
      </c>
      <c r="L263" s="9">
        <f>IF(OR(J263="",K263=""),"",IF(J263&lt;=K263,"Fresh","Expired"))</f>
        <v/>
      </c>
    </row>
    <row r="264">
      <c r="A264" s="7" t="n"/>
      <c r="B264" s="7" t="n"/>
      <c r="C264" s="7" t="n"/>
      <c r="D264" s="7" t="n"/>
      <c r="E264" s="9">
        <f>IF(D264="","",IFERROR(VLOOKUP(D264,'Trigger Library'!$B$4:$E$14,2,FALSE),""))</f>
        <v/>
      </c>
      <c r="F264" s="9">
        <f>IF(OR(D264="",H264="",I264=""),0,IFERROR(VLOOKUP(D264,'Trigger Library'!$B$4:$E$14,3,FALSE),0))</f>
        <v/>
      </c>
      <c r="G264" s="7" t="n"/>
      <c r="H264" s="7" t="n"/>
      <c r="I264" s="7" t="n"/>
      <c r="J264" s="9">
        <f>IF(I264="","",TODAY()-I264)</f>
        <v/>
      </c>
      <c r="K264" s="9">
        <f>IF(D264="","",IFERROR(VLOOKUP(D264,'Trigger Library'!$B$4:$E$14,4,FALSE),""))</f>
        <v/>
      </c>
      <c r="L264" s="9">
        <f>IF(OR(J264="",K264=""),"",IF(J264&lt;=K264,"Fresh","Expired"))</f>
        <v/>
      </c>
    </row>
    <row r="265">
      <c r="A265" s="7" t="n"/>
      <c r="B265" s="7" t="n"/>
      <c r="C265" s="7" t="n"/>
      <c r="D265" s="7" t="n"/>
      <c r="E265" s="9">
        <f>IF(D265="","",IFERROR(VLOOKUP(D265,'Trigger Library'!$B$4:$E$14,2,FALSE),""))</f>
        <v/>
      </c>
      <c r="F265" s="9">
        <f>IF(OR(D265="",H265="",I265=""),0,IFERROR(VLOOKUP(D265,'Trigger Library'!$B$4:$E$14,3,FALSE),0))</f>
        <v/>
      </c>
      <c r="G265" s="7" t="n"/>
      <c r="H265" s="7" t="n"/>
      <c r="I265" s="7" t="n"/>
      <c r="J265" s="9">
        <f>IF(I265="","",TODAY()-I265)</f>
        <v/>
      </c>
      <c r="K265" s="9">
        <f>IF(D265="","",IFERROR(VLOOKUP(D265,'Trigger Library'!$B$4:$E$14,4,FALSE),""))</f>
        <v/>
      </c>
      <c r="L265" s="9">
        <f>IF(OR(J265="",K265=""),"",IF(J265&lt;=K265,"Fresh","Expired"))</f>
        <v/>
      </c>
    </row>
    <row r="266">
      <c r="A266" s="7" t="n"/>
      <c r="B266" s="7" t="n"/>
      <c r="C266" s="7" t="n"/>
      <c r="D266" s="7" t="n"/>
      <c r="E266" s="9">
        <f>IF(D266="","",IFERROR(VLOOKUP(D266,'Trigger Library'!$B$4:$E$14,2,FALSE),""))</f>
        <v/>
      </c>
      <c r="F266" s="9">
        <f>IF(OR(D266="",H266="",I266=""),0,IFERROR(VLOOKUP(D266,'Trigger Library'!$B$4:$E$14,3,FALSE),0))</f>
        <v/>
      </c>
      <c r="G266" s="7" t="n"/>
      <c r="H266" s="7" t="n"/>
      <c r="I266" s="7" t="n"/>
      <c r="J266" s="9">
        <f>IF(I266="","",TODAY()-I266)</f>
        <v/>
      </c>
      <c r="K266" s="9">
        <f>IF(D266="","",IFERROR(VLOOKUP(D266,'Trigger Library'!$B$4:$E$14,4,FALSE),""))</f>
        <v/>
      </c>
      <c r="L266" s="9">
        <f>IF(OR(J266="",K266=""),"",IF(J266&lt;=K266,"Fresh","Expired"))</f>
        <v/>
      </c>
    </row>
    <row r="267">
      <c r="A267" s="7" t="n"/>
      <c r="B267" s="7" t="n"/>
      <c r="C267" s="7" t="n"/>
      <c r="D267" s="7" t="n"/>
      <c r="E267" s="9">
        <f>IF(D267="","",IFERROR(VLOOKUP(D267,'Trigger Library'!$B$4:$E$14,2,FALSE),""))</f>
        <v/>
      </c>
      <c r="F267" s="9">
        <f>IF(OR(D267="",H267="",I267=""),0,IFERROR(VLOOKUP(D267,'Trigger Library'!$B$4:$E$14,3,FALSE),0))</f>
        <v/>
      </c>
      <c r="G267" s="7" t="n"/>
      <c r="H267" s="7" t="n"/>
      <c r="I267" s="7" t="n"/>
      <c r="J267" s="9">
        <f>IF(I267="","",TODAY()-I267)</f>
        <v/>
      </c>
      <c r="K267" s="9">
        <f>IF(D267="","",IFERROR(VLOOKUP(D267,'Trigger Library'!$B$4:$E$14,4,FALSE),""))</f>
        <v/>
      </c>
      <c r="L267" s="9">
        <f>IF(OR(J267="",K267=""),"",IF(J267&lt;=K267,"Fresh","Expired"))</f>
        <v/>
      </c>
    </row>
    <row r="268">
      <c r="A268" s="7" t="n"/>
      <c r="B268" s="7" t="n"/>
      <c r="C268" s="7" t="n"/>
      <c r="D268" s="7" t="n"/>
      <c r="E268" s="9">
        <f>IF(D268="","",IFERROR(VLOOKUP(D268,'Trigger Library'!$B$4:$E$14,2,FALSE),""))</f>
        <v/>
      </c>
      <c r="F268" s="9">
        <f>IF(OR(D268="",H268="",I268=""),0,IFERROR(VLOOKUP(D268,'Trigger Library'!$B$4:$E$14,3,FALSE),0))</f>
        <v/>
      </c>
      <c r="G268" s="7" t="n"/>
      <c r="H268" s="7" t="n"/>
      <c r="I268" s="7" t="n"/>
      <c r="J268" s="9">
        <f>IF(I268="","",TODAY()-I268)</f>
        <v/>
      </c>
      <c r="K268" s="9">
        <f>IF(D268="","",IFERROR(VLOOKUP(D268,'Trigger Library'!$B$4:$E$14,4,FALSE),""))</f>
        <v/>
      </c>
      <c r="L268" s="9">
        <f>IF(OR(J268="",K268=""),"",IF(J268&lt;=K268,"Fresh","Expired"))</f>
        <v/>
      </c>
    </row>
    <row r="269">
      <c r="A269" s="7" t="n"/>
      <c r="B269" s="7" t="n"/>
      <c r="C269" s="7" t="n"/>
      <c r="D269" s="7" t="n"/>
      <c r="E269" s="9">
        <f>IF(D269="","",IFERROR(VLOOKUP(D269,'Trigger Library'!$B$4:$E$14,2,FALSE),""))</f>
        <v/>
      </c>
      <c r="F269" s="9">
        <f>IF(OR(D269="",H269="",I269=""),0,IFERROR(VLOOKUP(D269,'Trigger Library'!$B$4:$E$14,3,FALSE),0))</f>
        <v/>
      </c>
      <c r="G269" s="7" t="n"/>
      <c r="H269" s="7" t="n"/>
      <c r="I269" s="7" t="n"/>
      <c r="J269" s="9">
        <f>IF(I269="","",TODAY()-I269)</f>
        <v/>
      </c>
      <c r="K269" s="9">
        <f>IF(D269="","",IFERROR(VLOOKUP(D269,'Trigger Library'!$B$4:$E$14,4,FALSE),""))</f>
        <v/>
      </c>
      <c r="L269" s="9">
        <f>IF(OR(J269="",K269=""),"",IF(J269&lt;=K269,"Fresh","Expired"))</f>
        <v/>
      </c>
    </row>
    <row r="270">
      <c r="A270" s="7" t="n"/>
      <c r="B270" s="7" t="n"/>
      <c r="C270" s="7" t="n"/>
      <c r="D270" s="7" t="n"/>
      <c r="E270" s="9">
        <f>IF(D270="","",IFERROR(VLOOKUP(D270,'Trigger Library'!$B$4:$E$14,2,FALSE),""))</f>
        <v/>
      </c>
      <c r="F270" s="9">
        <f>IF(OR(D270="",H270="",I270=""),0,IFERROR(VLOOKUP(D270,'Trigger Library'!$B$4:$E$14,3,FALSE),0))</f>
        <v/>
      </c>
      <c r="G270" s="7" t="n"/>
      <c r="H270" s="7" t="n"/>
      <c r="I270" s="7" t="n"/>
      <c r="J270" s="9">
        <f>IF(I270="","",TODAY()-I270)</f>
        <v/>
      </c>
      <c r="K270" s="9">
        <f>IF(D270="","",IFERROR(VLOOKUP(D270,'Trigger Library'!$B$4:$E$14,4,FALSE),""))</f>
        <v/>
      </c>
      <c r="L270" s="9">
        <f>IF(OR(J270="",K270=""),"",IF(J270&lt;=K270,"Fresh","Expired"))</f>
        <v/>
      </c>
    </row>
    <row r="271">
      <c r="A271" s="7" t="n"/>
      <c r="B271" s="7" t="n"/>
      <c r="C271" s="7" t="n"/>
      <c r="D271" s="7" t="n"/>
      <c r="E271" s="9">
        <f>IF(D271="","",IFERROR(VLOOKUP(D271,'Trigger Library'!$B$4:$E$14,2,FALSE),""))</f>
        <v/>
      </c>
      <c r="F271" s="9">
        <f>IF(OR(D271="",H271="",I271=""),0,IFERROR(VLOOKUP(D271,'Trigger Library'!$B$4:$E$14,3,FALSE),0))</f>
        <v/>
      </c>
      <c r="G271" s="7" t="n"/>
      <c r="H271" s="7" t="n"/>
      <c r="I271" s="7" t="n"/>
      <c r="J271" s="9">
        <f>IF(I271="","",TODAY()-I271)</f>
        <v/>
      </c>
      <c r="K271" s="9">
        <f>IF(D271="","",IFERROR(VLOOKUP(D271,'Trigger Library'!$B$4:$E$14,4,FALSE),""))</f>
        <v/>
      </c>
      <c r="L271" s="9">
        <f>IF(OR(J271="",K271=""),"",IF(J271&lt;=K271,"Fresh","Expired"))</f>
        <v/>
      </c>
    </row>
    <row r="272">
      <c r="A272" s="7" t="n"/>
      <c r="B272" s="7" t="n"/>
      <c r="C272" s="7" t="n"/>
      <c r="D272" s="7" t="n"/>
      <c r="E272" s="9">
        <f>IF(D272="","",IFERROR(VLOOKUP(D272,'Trigger Library'!$B$4:$E$14,2,FALSE),""))</f>
        <v/>
      </c>
      <c r="F272" s="9">
        <f>IF(OR(D272="",H272="",I272=""),0,IFERROR(VLOOKUP(D272,'Trigger Library'!$B$4:$E$14,3,FALSE),0))</f>
        <v/>
      </c>
      <c r="G272" s="7" t="n"/>
      <c r="H272" s="7" t="n"/>
      <c r="I272" s="7" t="n"/>
      <c r="J272" s="9">
        <f>IF(I272="","",TODAY()-I272)</f>
        <v/>
      </c>
      <c r="K272" s="9">
        <f>IF(D272="","",IFERROR(VLOOKUP(D272,'Trigger Library'!$B$4:$E$14,4,FALSE),""))</f>
        <v/>
      </c>
      <c r="L272" s="9">
        <f>IF(OR(J272="",K272=""),"",IF(J272&lt;=K272,"Fresh","Expired"))</f>
        <v/>
      </c>
    </row>
    <row r="273">
      <c r="A273" s="7" t="n"/>
      <c r="B273" s="7" t="n"/>
      <c r="C273" s="7" t="n"/>
      <c r="D273" s="7" t="n"/>
      <c r="E273" s="9">
        <f>IF(D273="","",IFERROR(VLOOKUP(D273,'Trigger Library'!$B$4:$E$14,2,FALSE),""))</f>
        <v/>
      </c>
      <c r="F273" s="9">
        <f>IF(OR(D273="",H273="",I273=""),0,IFERROR(VLOOKUP(D273,'Trigger Library'!$B$4:$E$14,3,FALSE),0))</f>
        <v/>
      </c>
      <c r="G273" s="7" t="n"/>
      <c r="H273" s="7" t="n"/>
      <c r="I273" s="7" t="n"/>
      <c r="J273" s="9">
        <f>IF(I273="","",TODAY()-I273)</f>
        <v/>
      </c>
      <c r="K273" s="9">
        <f>IF(D273="","",IFERROR(VLOOKUP(D273,'Trigger Library'!$B$4:$E$14,4,FALSE),""))</f>
        <v/>
      </c>
      <c r="L273" s="9">
        <f>IF(OR(J273="",K273=""),"",IF(J273&lt;=K273,"Fresh","Expired"))</f>
        <v/>
      </c>
    </row>
    <row r="274">
      <c r="A274" s="7" t="n"/>
      <c r="B274" s="7" t="n"/>
      <c r="C274" s="7" t="n"/>
      <c r="D274" s="7" t="n"/>
      <c r="E274" s="9">
        <f>IF(D274="","",IFERROR(VLOOKUP(D274,'Trigger Library'!$B$4:$E$14,2,FALSE),""))</f>
        <v/>
      </c>
      <c r="F274" s="9">
        <f>IF(OR(D274="",H274="",I274=""),0,IFERROR(VLOOKUP(D274,'Trigger Library'!$B$4:$E$14,3,FALSE),0))</f>
        <v/>
      </c>
      <c r="G274" s="7" t="n"/>
      <c r="H274" s="7" t="n"/>
      <c r="I274" s="7" t="n"/>
      <c r="J274" s="9">
        <f>IF(I274="","",TODAY()-I274)</f>
        <v/>
      </c>
      <c r="K274" s="9">
        <f>IF(D274="","",IFERROR(VLOOKUP(D274,'Trigger Library'!$B$4:$E$14,4,FALSE),""))</f>
        <v/>
      </c>
      <c r="L274" s="9">
        <f>IF(OR(J274="",K274=""),"",IF(J274&lt;=K274,"Fresh","Expired"))</f>
        <v/>
      </c>
    </row>
    <row r="275">
      <c r="A275" s="7" t="n"/>
      <c r="B275" s="7" t="n"/>
      <c r="C275" s="7" t="n"/>
      <c r="D275" s="7" t="n"/>
      <c r="E275" s="9">
        <f>IF(D275="","",IFERROR(VLOOKUP(D275,'Trigger Library'!$B$4:$E$14,2,FALSE),""))</f>
        <v/>
      </c>
      <c r="F275" s="9">
        <f>IF(OR(D275="",H275="",I275=""),0,IFERROR(VLOOKUP(D275,'Trigger Library'!$B$4:$E$14,3,FALSE),0))</f>
        <v/>
      </c>
      <c r="G275" s="7" t="n"/>
      <c r="H275" s="7" t="n"/>
      <c r="I275" s="7" t="n"/>
      <c r="J275" s="9">
        <f>IF(I275="","",TODAY()-I275)</f>
        <v/>
      </c>
      <c r="K275" s="9">
        <f>IF(D275="","",IFERROR(VLOOKUP(D275,'Trigger Library'!$B$4:$E$14,4,FALSE),""))</f>
        <v/>
      </c>
      <c r="L275" s="9">
        <f>IF(OR(J275="",K275=""),"",IF(J275&lt;=K275,"Fresh","Expired"))</f>
        <v/>
      </c>
    </row>
    <row r="276">
      <c r="A276" s="7" t="n"/>
      <c r="B276" s="7" t="n"/>
      <c r="C276" s="7" t="n"/>
      <c r="D276" s="7" t="n"/>
      <c r="E276" s="9">
        <f>IF(D276="","",IFERROR(VLOOKUP(D276,'Trigger Library'!$B$4:$E$14,2,FALSE),""))</f>
        <v/>
      </c>
      <c r="F276" s="9">
        <f>IF(OR(D276="",H276="",I276=""),0,IFERROR(VLOOKUP(D276,'Trigger Library'!$B$4:$E$14,3,FALSE),0))</f>
        <v/>
      </c>
      <c r="G276" s="7" t="n"/>
      <c r="H276" s="7" t="n"/>
      <c r="I276" s="7" t="n"/>
      <c r="J276" s="9">
        <f>IF(I276="","",TODAY()-I276)</f>
        <v/>
      </c>
      <c r="K276" s="9">
        <f>IF(D276="","",IFERROR(VLOOKUP(D276,'Trigger Library'!$B$4:$E$14,4,FALSE),""))</f>
        <v/>
      </c>
      <c r="L276" s="9">
        <f>IF(OR(J276="",K276=""),"",IF(J276&lt;=K276,"Fresh","Expired"))</f>
        <v/>
      </c>
    </row>
    <row r="277">
      <c r="A277" s="7" t="n"/>
      <c r="B277" s="7" t="n"/>
      <c r="C277" s="7" t="n"/>
      <c r="D277" s="7" t="n"/>
      <c r="E277" s="9">
        <f>IF(D277="","",IFERROR(VLOOKUP(D277,'Trigger Library'!$B$4:$E$14,2,FALSE),""))</f>
        <v/>
      </c>
      <c r="F277" s="9">
        <f>IF(OR(D277="",H277="",I277=""),0,IFERROR(VLOOKUP(D277,'Trigger Library'!$B$4:$E$14,3,FALSE),0))</f>
        <v/>
      </c>
      <c r="G277" s="7" t="n"/>
      <c r="H277" s="7" t="n"/>
      <c r="I277" s="7" t="n"/>
      <c r="J277" s="9">
        <f>IF(I277="","",TODAY()-I277)</f>
        <v/>
      </c>
      <c r="K277" s="9">
        <f>IF(D277="","",IFERROR(VLOOKUP(D277,'Trigger Library'!$B$4:$E$14,4,FALSE),""))</f>
        <v/>
      </c>
      <c r="L277" s="9">
        <f>IF(OR(J277="",K277=""),"",IF(J277&lt;=K277,"Fresh","Expired"))</f>
        <v/>
      </c>
    </row>
    <row r="278">
      <c r="A278" s="7" t="n"/>
      <c r="B278" s="7" t="n"/>
      <c r="C278" s="7" t="n"/>
      <c r="D278" s="7" t="n"/>
      <c r="E278" s="9">
        <f>IF(D278="","",IFERROR(VLOOKUP(D278,'Trigger Library'!$B$4:$E$14,2,FALSE),""))</f>
        <v/>
      </c>
      <c r="F278" s="9">
        <f>IF(OR(D278="",H278="",I278=""),0,IFERROR(VLOOKUP(D278,'Trigger Library'!$B$4:$E$14,3,FALSE),0))</f>
        <v/>
      </c>
      <c r="G278" s="7" t="n"/>
      <c r="H278" s="7" t="n"/>
      <c r="I278" s="7" t="n"/>
      <c r="J278" s="9">
        <f>IF(I278="","",TODAY()-I278)</f>
        <v/>
      </c>
      <c r="K278" s="9">
        <f>IF(D278="","",IFERROR(VLOOKUP(D278,'Trigger Library'!$B$4:$E$14,4,FALSE),""))</f>
        <v/>
      </c>
      <c r="L278" s="9">
        <f>IF(OR(J278="",K278=""),"",IF(J278&lt;=K278,"Fresh","Expired"))</f>
        <v/>
      </c>
    </row>
    <row r="279">
      <c r="A279" s="7" t="n"/>
      <c r="B279" s="7" t="n"/>
      <c r="C279" s="7" t="n"/>
      <c r="D279" s="7" t="n"/>
      <c r="E279" s="9">
        <f>IF(D279="","",IFERROR(VLOOKUP(D279,'Trigger Library'!$B$4:$E$14,2,FALSE),""))</f>
        <v/>
      </c>
      <c r="F279" s="9">
        <f>IF(OR(D279="",H279="",I279=""),0,IFERROR(VLOOKUP(D279,'Trigger Library'!$B$4:$E$14,3,FALSE),0))</f>
        <v/>
      </c>
      <c r="G279" s="7" t="n"/>
      <c r="H279" s="7" t="n"/>
      <c r="I279" s="7" t="n"/>
      <c r="J279" s="9">
        <f>IF(I279="","",TODAY()-I279)</f>
        <v/>
      </c>
      <c r="K279" s="9">
        <f>IF(D279="","",IFERROR(VLOOKUP(D279,'Trigger Library'!$B$4:$E$14,4,FALSE),""))</f>
        <v/>
      </c>
      <c r="L279" s="9">
        <f>IF(OR(J279="",K279=""),"",IF(J279&lt;=K279,"Fresh","Expired"))</f>
        <v/>
      </c>
    </row>
    <row r="280">
      <c r="A280" s="7" t="n"/>
      <c r="B280" s="7" t="n"/>
      <c r="C280" s="7" t="n"/>
      <c r="D280" s="7" t="n"/>
      <c r="E280" s="9">
        <f>IF(D280="","",IFERROR(VLOOKUP(D280,'Trigger Library'!$B$4:$E$14,2,FALSE),""))</f>
        <v/>
      </c>
      <c r="F280" s="9">
        <f>IF(OR(D280="",H280="",I280=""),0,IFERROR(VLOOKUP(D280,'Trigger Library'!$B$4:$E$14,3,FALSE),0))</f>
        <v/>
      </c>
      <c r="G280" s="7" t="n"/>
      <c r="H280" s="7" t="n"/>
      <c r="I280" s="7" t="n"/>
      <c r="J280" s="9">
        <f>IF(I280="","",TODAY()-I280)</f>
        <v/>
      </c>
      <c r="K280" s="9">
        <f>IF(D280="","",IFERROR(VLOOKUP(D280,'Trigger Library'!$B$4:$E$14,4,FALSE),""))</f>
        <v/>
      </c>
      <c r="L280" s="9">
        <f>IF(OR(J280="",K280=""),"",IF(J280&lt;=K280,"Fresh","Expired"))</f>
        <v/>
      </c>
    </row>
    <row r="281">
      <c r="A281" s="7" t="n"/>
      <c r="B281" s="7" t="n"/>
      <c r="C281" s="7" t="n"/>
      <c r="D281" s="7" t="n"/>
      <c r="E281" s="9">
        <f>IF(D281="","",IFERROR(VLOOKUP(D281,'Trigger Library'!$B$4:$E$14,2,FALSE),""))</f>
        <v/>
      </c>
      <c r="F281" s="9">
        <f>IF(OR(D281="",H281="",I281=""),0,IFERROR(VLOOKUP(D281,'Trigger Library'!$B$4:$E$14,3,FALSE),0))</f>
        <v/>
      </c>
      <c r="G281" s="7" t="n"/>
      <c r="H281" s="7" t="n"/>
      <c r="I281" s="7" t="n"/>
      <c r="J281" s="9">
        <f>IF(I281="","",TODAY()-I281)</f>
        <v/>
      </c>
      <c r="K281" s="9">
        <f>IF(D281="","",IFERROR(VLOOKUP(D281,'Trigger Library'!$B$4:$E$14,4,FALSE),""))</f>
        <v/>
      </c>
      <c r="L281" s="9">
        <f>IF(OR(J281="",K281=""),"",IF(J281&lt;=K281,"Fresh","Expired"))</f>
        <v/>
      </c>
    </row>
    <row r="282">
      <c r="A282" s="7" t="n"/>
      <c r="B282" s="7" t="n"/>
      <c r="C282" s="7" t="n"/>
      <c r="D282" s="7" t="n"/>
      <c r="E282" s="9">
        <f>IF(D282="","",IFERROR(VLOOKUP(D282,'Trigger Library'!$B$4:$E$14,2,FALSE),""))</f>
        <v/>
      </c>
      <c r="F282" s="9">
        <f>IF(OR(D282="",H282="",I282=""),0,IFERROR(VLOOKUP(D282,'Trigger Library'!$B$4:$E$14,3,FALSE),0))</f>
        <v/>
      </c>
      <c r="G282" s="7" t="n"/>
      <c r="H282" s="7" t="n"/>
      <c r="I282" s="7" t="n"/>
      <c r="J282" s="9">
        <f>IF(I282="","",TODAY()-I282)</f>
        <v/>
      </c>
      <c r="K282" s="9">
        <f>IF(D282="","",IFERROR(VLOOKUP(D282,'Trigger Library'!$B$4:$E$14,4,FALSE),""))</f>
        <v/>
      </c>
      <c r="L282" s="9">
        <f>IF(OR(J282="",K282=""),"",IF(J282&lt;=K282,"Fresh","Expired"))</f>
        <v/>
      </c>
    </row>
    <row r="283">
      <c r="A283" s="7" t="n"/>
      <c r="B283" s="7" t="n"/>
      <c r="C283" s="7" t="n"/>
      <c r="D283" s="7" t="n"/>
      <c r="E283" s="9">
        <f>IF(D283="","",IFERROR(VLOOKUP(D283,'Trigger Library'!$B$4:$E$14,2,FALSE),""))</f>
        <v/>
      </c>
      <c r="F283" s="9">
        <f>IF(OR(D283="",H283="",I283=""),0,IFERROR(VLOOKUP(D283,'Trigger Library'!$B$4:$E$14,3,FALSE),0))</f>
        <v/>
      </c>
      <c r="G283" s="7" t="n"/>
      <c r="H283" s="7" t="n"/>
      <c r="I283" s="7" t="n"/>
      <c r="J283" s="9">
        <f>IF(I283="","",TODAY()-I283)</f>
        <v/>
      </c>
      <c r="K283" s="9">
        <f>IF(D283="","",IFERROR(VLOOKUP(D283,'Trigger Library'!$B$4:$E$14,4,FALSE),""))</f>
        <v/>
      </c>
      <c r="L283" s="9">
        <f>IF(OR(J283="",K283=""),"",IF(J283&lt;=K283,"Fresh","Expired"))</f>
        <v/>
      </c>
    </row>
    <row r="284">
      <c r="A284" s="7" t="n"/>
      <c r="B284" s="7" t="n"/>
      <c r="C284" s="7" t="n"/>
      <c r="D284" s="7" t="n"/>
      <c r="E284" s="9">
        <f>IF(D284="","",IFERROR(VLOOKUP(D284,'Trigger Library'!$B$4:$E$14,2,FALSE),""))</f>
        <v/>
      </c>
      <c r="F284" s="9">
        <f>IF(OR(D284="",H284="",I284=""),0,IFERROR(VLOOKUP(D284,'Trigger Library'!$B$4:$E$14,3,FALSE),0))</f>
        <v/>
      </c>
      <c r="G284" s="7" t="n"/>
      <c r="H284" s="7" t="n"/>
      <c r="I284" s="7" t="n"/>
      <c r="J284" s="9">
        <f>IF(I284="","",TODAY()-I284)</f>
        <v/>
      </c>
      <c r="K284" s="9">
        <f>IF(D284="","",IFERROR(VLOOKUP(D284,'Trigger Library'!$B$4:$E$14,4,FALSE),""))</f>
        <v/>
      </c>
      <c r="L284" s="9">
        <f>IF(OR(J284="",K284=""),"",IF(J284&lt;=K284,"Fresh","Expired"))</f>
        <v/>
      </c>
    </row>
    <row r="285">
      <c r="A285" s="7" t="n"/>
      <c r="B285" s="7" t="n"/>
      <c r="C285" s="7" t="n"/>
      <c r="D285" s="7" t="n"/>
      <c r="E285" s="9">
        <f>IF(D285="","",IFERROR(VLOOKUP(D285,'Trigger Library'!$B$4:$E$14,2,FALSE),""))</f>
        <v/>
      </c>
      <c r="F285" s="9">
        <f>IF(OR(D285="",H285="",I285=""),0,IFERROR(VLOOKUP(D285,'Trigger Library'!$B$4:$E$14,3,FALSE),0))</f>
        <v/>
      </c>
      <c r="G285" s="7" t="n"/>
      <c r="H285" s="7" t="n"/>
      <c r="I285" s="7" t="n"/>
      <c r="J285" s="9">
        <f>IF(I285="","",TODAY()-I285)</f>
        <v/>
      </c>
      <c r="K285" s="9">
        <f>IF(D285="","",IFERROR(VLOOKUP(D285,'Trigger Library'!$B$4:$E$14,4,FALSE),""))</f>
        <v/>
      </c>
      <c r="L285" s="9">
        <f>IF(OR(J285="",K285=""),"",IF(J285&lt;=K285,"Fresh","Expired"))</f>
        <v/>
      </c>
    </row>
    <row r="286">
      <c r="A286" s="7" t="n"/>
      <c r="B286" s="7" t="n"/>
      <c r="C286" s="7" t="n"/>
      <c r="D286" s="7" t="n"/>
      <c r="E286" s="9">
        <f>IF(D286="","",IFERROR(VLOOKUP(D286,'Trigger Library'!$B$4:$E$14,2,FALSE),""))</f>
        <v/>
      </c>
      <c r="F286" s="9">
        <f>IF(OR(D286="",H286="",I286=""),0,IFERROR(VLOOKUP(D286,'Trigger Library'!$B$4:$E$14,3,FALSE),0))</f>
        <v/>
      </c>
      <c r="G286" s="7" t="n"/>
      <c r="H286" s="7" t="n"/>
      <c r="I286" s="7" t="n"/>
      <c r="J286" s="9">
        <f>IF(I286="","",TODAY()-I286)</f>
        <v/>
      </c>
      <c r="K286" s="9">
        <f>IF(D286="","",IFERROR(VLOOKUP(D286,'Trigger Library'!$B$4:$E$14,4,FALSE),""))</f>
        <v/>
      </c>
      <c r="L286" s="9">
        <f>IF(OR(J286="",K286=""),"",IF(J286&lt;=K286,"Fresh","Expired"))</f>
        <v/>
      </c>
    </row>
    <row r="287">
      <c r="A287" s="7" t="n"/>
      <c r="B287" s="7" t="n"/>
      <c r="C287" s="7" t="n"/>
      <c r="D287" s="7" t="n"/>
      <c r="E287" s="9">
        <f>IF(D287="","",IFERROR(VLOOKUP(D287,'Trigger Library'!$B$4:$E$14,2,FALSE),""))</f>
        <v/>
      </c>
      <c r="F287" s="9">
        <f>IF(OR(D287="",H287="",I287=""),0,IFERROR(VLOOKUP(D287,'Trigger Library'!$B$4:$E$14,3,FALSE),0))</f>
        <v/>
      </c>
      <c r="G287" s="7" t="n"/>
      <c r="H287" s="7" t="n"/>
      <c r="I287" s="7" t="n"/>
      <c r="J287" s="9">
        <f>IF(I287="","",TODAY()-I287)</f>
        <v/>
      </c>
      <c r="K287" s="9">
        <f>IF(D287="","",IFERROR(VLOOKUP(D287,'Trigger Library'!$B$4:$E$14,4,FALSE),""))</f>
        <v/>
      </c>
      <c r="L287" s="9">
        <f>IF(OR(J287="",K287=""),"",IF(J287&lt;=K287,"Fresh","Expired"))</f>
        <v/>
      </c>
    </row>
    <row r="288">
      <c r="A288" s="7" t="n"/>
      <c r="B288" s="7" t="n"/>
      <c r="C288" s="7" t="n"/>
      <c r="D288" s="7" t="n"/>
      <c r="E288" s="9">
        <f>IF(D288="","",IFERROR(VLOOKUP(D288,'Trigger Library'!$B$4:$E$14,2,FALSE),""))</f>
        <v/>
      </c>
      <c r="F288" s="9">
        <f>IF(OR(D288="",H288="",I288=""),0,IFERROR(VLOOKUP(D288,'Trigger Library'!$B$4:$E$14,3,FALSE),0))</f>
        <v/>
      </c>
      <c r="G288" s="7" t="n"/>
      <c r="H288" s="7" t="n"/>
      <c r="I288" s="7" t="n"/>
      <c r="J288" s="9">
        <f>IF(I288="","",TODAY()-I288)</f>
        <v/>
      </c>
      <c r="K288" s="9">
        <f>IF(D288="","",IFERROR(VLOOKUP(D288,'Trigger Library'!$B$4:$E$14,4,FALSE),""))</f>
        <v/>
      </c>
      <c r="L288" s="9">
        <f>IF(OR(J288="",K288=""),"",IF(J288&lt;=K288,"Fresh","Expired"))</f>
        <v/>
      </c>
    </row>
    <row r="289">
      <c r="A289" s="7" t="n"/>
      <c r="B289" s="7" t="n"/>
      <c r="C289" s="7" t="n"/>
      <c r="D289" s="7" t="n"/>
      <c r="E289" s="9">
        <f>IF(D289="","",IFERROR(VLOOKUP(D289,'Trigger Library'!$B$4:$E$14,2,FALSE),""))</f>
        <v/>
      </c>
      <c r="F289" s="9">
        <f>IF(OR(D289="",H289="",I289=""),0,IFERROR(VLOOKUP(D289,'Trigger Library'!$B$4:$E$14,3,FALSE),0))</f>
        <v/>
      </c>
      <c r="G289" s="7" t="n"/>
      <c r="H289" s="7" t="n"/>
      <c r="I289" s="7" t="n"/>
      <c r="J289" s="9">
        <f>IF(I289="","",TODAY()-I289)</f>
        <v/>
      </c>
      <c r="K289" s="9">
        <f>IF(D289="","",IFERROR(VLOOKUP(D289,'Trigger Library'!$B$4:$E$14,4,FALSE),""))</f>
        <v/>
      </c>
      <c r="L289" s="9">
        <f>IF(OR(J289="",K289=""),"",IF(J289&lt;=K289,"Fresh","Expired"))</f>
        <v/>
      </c>
    </row>
    <row r="290">
      <c r="A290" s="7" t="n"/>
      <c r="B290" s="7" t="n"/>
      <c r="C290" s="7" t="n"/>
      <c r="D290" s="7" t="n"/>
      <c r="E290" s="9">
        <f>IF(D290="","",IFERROR(VLOOKUP(D290,'Trigger Library'!$B$4:$E$14,2,FALSE),""))</f>
        <v/>
      </c>
      <c r="F290" s="9">
        <f>IF(OR(D290="",H290="",I290=""),0,IFERROR(VLOOKUP(D290,'Trigger Library'!$B$4:$E$14,3,FALSE),0))</f>
        <v/>
      </c>
      <c r="G290" s="7" t="n"/>
      <c r="H290" s="7" t="n"/>
      <c r="I290" s="7" t="n"/>
      <c r="J290" s="9">
        <f>IF(I290="","",TODAY()-I290)</f>
        <v/>
      </c>
      <c r="K290" s="9">
        <f>IF(D290="","",IFERROR(VLOOKUP(D290,'Trigger Library'!$B$4:$E$14,4,FALSE),""))</f>
        <v/>
      </c>
      <c r="L290" s="9">
        <f>IF(OR(J290="",K290=""),"",IF(J290&lt;=K290,"Fresh","Expired"))</f>
        <v/>
      </c>
    </row>
    <row r="291">
      <c r="A291" s="7" t="n"/>
      <c r="B291" s="7" t="n"/>
      <c r="C291" s="7" t="n"/>
      <c r="D291" s="7" t="n"/>
      <c r="E291" s="9">
        <f>IF(D291="","",IFERROR(VLOOKUP(D291,'Trigger Library'!$B$4:$E$14,2,FALSE),""))</f>
        <v/>
      </c>
      <c r="F291" s="9">
        <f>IF(OR(D291="",H291="",I291=""),0,IFERROR(VLOOKUP(D291,'Trigger Library'!$B$4:$E$14,3,FALSE),0))</f>
        <v/>
      </c>
      <c r="G291" s="7" t="n"/>
      <c r="H291" s="7" t="n"/>
      <c r="I291" s="7" t="n"/>
      <c r="J291" s="9">
        <f>IF(I291="","",TODAY()-I291)</f>
        <v/>
      </c>
      <c r="K291" s="9">
        <f>IF(D291="","",IFERROR(VLOOKUP(D291,'Trigger Library'!$B$4:$E$14,4,FALSE),""))</f>
        <v/>
      </c>
      <c r="L291" s="9">
        <f>IF(OR(J291="",K291=""),"",IF(J291&lt;=K291,"Fresh","Expired"))</f>
        <v/>
      </c>
    </row>
    <row r="292">
      <c r="A292" s="7" t="n"/>
      <c r="B292" s="7" t="n"/>
      <c r="C292" s="7" t="n"/>
      <c r="D292" s="7" t="n"/>
      <c r="E292" s="9">
        <f>IF(D292="","",IFERROR(VLOOKUP(D292,'Trigger Library'!$B$4:$E$14,2,FALSE),""))</f>
        <v/>
      </c>
      <c r="F292" s="9">
        <f>IF(OR(D292="",H292="",I292=""),0,IFERROR(VLOOKUP(D292,'Trigger Library'!$B$4:$E$14,3,FALSE),0))</f>
        <v/>
      </c>
      <c r="G292" s="7" t="n"/>
      <c r="H292" s="7" t="n"/>
      <c r="I292" s="7" t="n"/>
      <c r="J292" s="9">
        <f>IF(I292="","",TODAY()-I292)</f>
        <v/>
      </c>
      <c r="K292" s="9">
        <f>IF(D292="","",IFERROR(VLOOKUP(D292,'Trigger Library'!$B$4:$E$14,4,FALSE),""))</f>
        <v/>
      </c>
      <c r="L292" s="9">
        <f>IF(OR(J292="",K292=""),"",IF(J292&lt;=K292,"Fresh","Expired"))</f>
        <v/>
      </c>
    </row>
    <row r="293">
      <c r="A293" s="7" t="n"/>
      <c r="B293" s="7" t="n"/>
      <c r="C293" s="7" t="n"/>
      <c r="D293" s="7" t="n"/>
      <c r="E293" s="9">
        <f>IF(D293="","",IFERROR(VLOOKUP(D293,'Trigger Library'!$B$4:$E$14,2,FALSE),""))</f>
        <v/>
      </c>
      <c r="F293" s="9">
        <f>IF(OR(D293="",H293="",I293=""),0,IFERROR(VLOOKUP(D293,'Trigger Library'!$B$4:$E$14,3,FALSE),0))</f>
        <v/>
      </c>
      <c r="G293" s="7" t="n"/>
      <c r="H293" s="7" t="n"/>
      <c r="I293" s="7" t="n"/>
      <c r="J293" s="9">
        <f>IF(I293="","",TODAY()-I293)</f>
        <v/>
      </c>
      <c r="K293" s="9">
        <f>IF(D293="","",IFERROR(VLOOKUP(D293,'Trigger Library'!$B$4:$E$14,4,FALSE),""))</f>
        <v/>
      </c>
      <c r="L293" s="9">
        <f>IF(OR(J293="",K293=""),"",IF(J293&lt;=K293,"Fresh","Expired"))</f>
        <v/>
      </c>
    </row>
    <row r="294">
      <c r="A294" s="7" t="n"/>
      <c r="B294" s="7" t="n"/>
      <c r="C294" s="7" t="n"/>
      <c r="D294" s="7" t="n"/>
      <c r="E294" s="9">
        <f>IF(D294="","",IFERROR(VLOOKUP(D294,'Trigger Library'!$B$4:$E$14,2,FALSE),""))</f>
        <v/>
      </c>
      <c r="F294" s="9">
        <f>IF(OR(D294="",H294="",I294=""),0,IFERROR(VLOOKUP(D294,'Trigger Library'!$B$4:$E$14,3,FALSE),0))</f>
        <v/>
      </c>
      <c r="G294" s="7" t="n"/>
      <c r="H294" s="7" t="n"/>
      <c r="I294" s="7" t="n"/>
      <c r="J294" s="9">
        <f>IF(I294="","",TODAY()-I294)</f>
        <v/>
      </c>
      <c r="K294" s="9">
        <f>IF(D294="","",IFERROR(VLOOKUP(D294,'Trigger Library'!$B$4:$E$14,4,FALSE),""))</f>
        <v/>
      </c>
      <c r="L294" s="9">
        <f>IF(OR(J294="",K294=""),"",IF(J294&lt;=K294,"Fresh","Expired"))</f>
        <v/>
      </c>
    </row>
    <row r="295">
      <c r="A295" s="7" t="n"/>
      <c r="B295" s="7" t="n"/>
      <c r="C295" s="7" t="n"/>
      <c r="D295" s="7" t="n"/>
      <c r="E295" s="9">
        <f>IF(D295="","",IFERROR(VLOOKUP(D295,'Trigger Library'!$B$4:$E$14,2,FALSE),""))</f>
        <v/>
      </c>
      <c r="F295" s="9">
        <f>IF(OR(D295="",H295="",I295=""),0,IFERROR(VLOOKUP(D295,'Trigger Library'!$B$4:$E$14,3,FALSE),0))</f>
        <v/>
      </c>
      <c r="G295" s="7" t="n"/>
      <c r="H295" s="7" t="n"/>
      <c r="I295" s="7" t="n"/>
      <c r="J295" s="9">
        <f>IF(I295="","",TODAY()-I295)</f>
        <v/>
      </c>
      <c r="K295" s="9">
        <f>IF(D295="","",IFERROR(VLOOKUP(D295,'Trigger Library'!$B$4:$E$14,4,FALSE),""))</f>
        <v/>
      </c>
      <c r="L295" s="9">
        <f>IF(OR(J295="",K295=""),"",IF(J295&lt;=K295,"Fresh","Expired"))</f>
        <v/>
      </c>
    </row>
    <row r="296">
      <c r="A296" s="7" t="n"/>
      <c r="B296" s="7" t="n"/>
      <c r="C296" s="7" t="n"/>
      <c r="D296" s="7" t="n"/>
      <c r="E296" s="9">
        <f>IF(D296="","",IFERROR(VLOOKUP(D296,'Trigger Library'!$B$4:$E$14,2,FALSE),""))</f>
        <v/>
      </c>
      <c r="F296" s="9">
        <f>IF(OR(D296="",H296="",I296=""),0,IFERROR(VLOOKUP(D296,'Trigger Library'!$B$4:$E$14,3,FALSE),0))</f>
        <v/>
      </c>
      <c r="G296" s="7" t="n"/>
      <c r="H296" s="7" t="n"/>
      <c r="I296" s="7" t="n"/>
      <c r="J296" s="9">
        <f>IF(I296="","",TODAY()-I296)</f>
        <v/>
      </c>
      <c r="K296" s="9">
        <f>IF(D296="","",IFERROR(VLOOKUP(D296,'Trigger Library'!$B$4:$E$14,4,FALSE),""))</f>
        <v/>
      </c>
      <c r="L296" s="9">
        <f>IF(OR(J296="",K296=""),"",IF(J296&lt;=K296,"Fresh","Expired"))</f>
        <v/>
      </c>
    </row>
    <row r="297">
      <c r="A297" s="7" t="n"/>
      <c r="B297" s="7" t="n"/>
      <c r="C297" s="7" t="n"/>
      <c r="D297" s="7" t="n"/>
      <c r="E297" s="9">
        <f>IF(D297="","",IFERROR(VLOOKUP(D297,'Trigger Library'!$B$4:$E$14,2,FALSE),""))</f>
        <v/>
      </c>
      <c r="F297" s="9">
        <f>IF(OR(D297="",H297="",I297=""),0,IFERROR(VLOOKUP(D297,'Trigger Library'!$B$4:$E$14,3,FALSE),0))</f>
        <v/>
      </c>
      <c r="G297" s="7" t="n"/>
      <c r="H297" s="7" t="n"/>
      <c r="I297" s="7" t="n"/>
      <c r="J297" s="9">
        <f>IF(I297="","",TODAY()-I297)</f>
        <v/>
      </c>
      <c r="K297" s="9">
        <f>IF(D297="","",IFERROR(VLOOKUP(D297,'Trigger Library'!$B$4:$E$14,4,FALSE),""))</f>
        <v/>
      </c>
      <c r="L297" s="9">
        <f>IF(OR(J297="",K297=""),"",IF(J297&lt;=K297,"Fresh","Expired"))</f>
        <v/>
      </c>
    </row>
    <row r="298">
      <c r="A298" s="7" t="n"/>
      <c r="B298" s="7" t="n"/>
      <c r="C298" s="7" t="n"/>
      <c r="D298" s="7" t="n"/>
      <c r="E298" s="9">
        <f>IF(D298="","",IFERROR(VLOOKUP(D298,'Trigger Library'!$B$4:$E$14,2,FALSE),""))</f>
        <v/>
      </c>
      <c r="F298" s="9">
        <f>IF(OR(D298="",H298="",I298=""),0,IFERROR(VLOOKUP(D298,'Trigger Library'!$B$4:$E$14,3,FALSE),0))</f>
        <v/>
      </c>
      <c r="G298" s="7" t="n"/>
      <c r="H298" s="7" t="n"/>
      <c r="I298" s="7" t="n"/>
      <c r="J298" s="9">
        <f>IF(I298="","",TODAY()-I298)</f>
        <v/>
      </c>
      <c r="K298" s="9">
        <f>IF(D298="","",IFERROR(VLOOKUP(D298,'Trigger Library'!$B$4:$E$14,4,FALSE),""))</f>
        <v/>
      </c>
      <c r="L298" s="9">
        <f>IF(OR(J298="",K298=""),"",IF(J298&lt;=K298,"Fresh","Expired"))</f>
        <v/>
      </c>
    </row>
    <row r="299">
      <c r="A299" s="7" t="n"/>
      <c r="B299" s="7" t="n"/>
      <c r="C299" s="7" t="n"/>
      <c r="D299" s="7" t="n"/>
      <c r="E299" s="9">
        <f>IF(D299="","",IFERROR(VLOOKUP(D299,'Trigger Library'!$B$4:$E$14,2,FALSE),""))</f>
        <v/>
      </c>
      <c r="F299" s="9">
        <f>IF(OR(D299="",H299="",I299=""),0,IFERROR(VLOOKUP(D299,'Trigger Library'!$B$4:$E$14,3,FALSE),0))</f>
        <v/>
      </c>
      <c r="G299" s="7" t="n"/>
      <c r="H299" s="7" t="n"/>
      <c r="I299" s="7" t="n"/>
      <c r="J299" s="9">
        <f>IF(I299="","",TODAY()-I299)</f>
        <v/>
      </c>
      <c r="K299" s="9">
        <f>IF(D299="","",IFERROR(VLOOKUP(D299,'Trigger Library'!$B$4:$E$14,4,FALSE),""))</f>
        <v/>
      </c>
      <c r="L299" s="9">
        <f>IF(OR(J299="",K299=""),"",IF(J299&lt;=K299,"Fresh","Expired"))</f>
        <v/>
      </c>
    </row>
    <row r="300">
      <c r="A300" s="7" t="n"/>
      <c r="B300" s="7" t="n"/>
      <c r="C300" s="7" t="n"/>
      <c r="D300" s="7" t="n"/>
      <c r="E300" s="9">
        <f>IF(D300="","",IFERROR(VLOOKUP(D300,'Trigger Library'!$B$4:$E$14,2,FALSE),""))</f>
        <v/>
      </c>
      <c r="F300" s="9">
        <f>IF(OR(D300="",H300="",I300=""),0,IFERROR(VLOOKUP(D300,'Trigger Library'!$B$4:$E$14,3,FALSE),0))</f>
        <v/>
      </c>
      <c r="G300" s="7" t="n"/>
      <c r="H300" s="7" t="n"/>
      <c r="I300" s="7" t="n"/>
      <c r="J300" s="9">
        <f>IF(I300="","",TODAY()-I300)</f>
        <v/>
      </c>
      <c r="K300" s="9">
        <f>IF(D300="","",IFERROR(VLOOKUP(D300,'Trigger Library'!$B$4:$E$14,4,FALSE),""))</f>
        <v/>
      </c>
      <c r="L300" s="9">
        <f>IF(OR(J300="",K300=""),"",IF(J300&lt;=K300,"Fresh","Expired"))</f>
        <v/>
      </c>
    </row>
    <row r="301">
      <c r="A301" s="7" t="n"/>
      <c r="B301" s="7" t="n"/>
      <c r="C301" s="7" t="n"/>
      <c r="D301" s="7" t="n"/>
      <c r="E301" s="9">
        <f>IF(D301="","",IFERROR(VLOOKUP(D301,'Trigger Library'!$B$4:$E$14,2,FALSE),""))</f>
        <v/>
      </c>
      <c r="F301" s="9">
        <f>IF(OR(D301="",H301="",I301=""),0,IFERROR(VLOOKUP(D301,'Trigger Library'!$B$4:$E$14,3,FALSE),0))</f>
        <v/>
      </c>
      <c r="G301" s="7" t="n"/>
      <c r="H301" s="7" t="n"/>
      <c r="I301" s="7" t="n"/>
      <c r="J301" s="9">
        <f>IF(I301="","",TODAY()-I301)</f>
        <v/>
      </c>
      <c r="K301" s="9">
        <f>IF(D301="","",IFERROR(VLOOKUP(D301,'Trigger Library'!$B$4:$E$14,4,FALSE),""))</f>
        <v/>
      </c>
      <c r="L301" s="9">
        <f>IF(OR(J301="",K301=""),"",IF(J301&lt;=K301,"Fresh","Expired"))</f>
        <v/>
      </c>
    </row>
    <row r="302">
      <c r="A302" s="7" t="n"/>
      <c r="B302" s="7" t="n"/>
      <c r="C302" s="7" t="n"/>
      <c r="D302" s="7" t="n"/>
      <c r="E302" s="9">
        <f>IF(D302="","",IFERROR(VLOOKUP(D302,'Trigger Library'!$B$4:$E$14,2,FALSE),""))</f>
        <v/>
      </c>
      <c r="F302" s="9">
        <f>IF(OR(D302="",H302="",I302=""),0,IFERROR(VLOOKUP(D302,'Trigger Library'!$B$4:$E$14,3,FALSE),0))</f>
        <v/>
      </c>
      <c r="G302" s="7" t="n"/>
      <c r="H302" s="7" t="n"/>
      <c r="I302" s="7" t="n"/>
      <c r="J302" s="9">
        <f>IF(I302="","",TODAY()-I302)</f>
        <v/>
      </c>
      <c r="K302" s="9">
        <f>IF(D302="","",IFERROR(VLOOKUP(D302,'Trigger Library'!$B$4:$E$14,4,FALSE),""))</f>
        <v/>
      </c>
      <c r="L302" s="9">
        <f>IF(OR(J302="",K302=""),"",IF(J302&lt;=K302,"Fresh","Expired"))</f>
        <v/>
      </c>
    </row>
    <row r="303">
      <c r="A303" s="7" t="n"/>
      <c r="B303" s="7" t="n"/>
      <c r="C303" s="7" t="n"/>
      <c r="D303" s="7" t="n"/>
      <c r="E303" s="9">
        <f>IF(D303="","",IFERROR(VLOOKUP(D303,'Trigger Library'!$B$4:$E$14,2,FALSE),""))</f>
        <v/>
      </c>
      <c r="F303" s="9">
        <f>IF(OR(D303="",H303="",I303=""),0,IFERROR(VLOOKUP(D303,'Trigger Library'!$B$4:$E$14,3,FALSE),0))</f>
        <v/>
      </c>
      <c r="G303" s="7" t="n"/>
      <c r="H303" s="7" t="n"/>
      <c r="I303" s="7" t="n"/>
      <c r="J303" s="9">
        <f>IF(I303="","",TODAY()-I303)</f>
        <v/>
      </c>
      <c r="K303" s="9">
        <f>IF(D303="","",IFERROR(VLOOKUP(D303,'Trigger Library'!$B$4:$E$14,4,FALSE),""))</f>
        <v/>
      </c>
      <c r="L303" s="9">
        <f>IF(OR(J303="",K303=""),"",IF(J303&lt;=K303,"Fresh","Expired"))</f>
        <v/>
      </c>
    </row>
  </sheetData>
  <autoFilter ref="A3:L303"/>
  <conditionalFormatting sqref="L4:L303">
    <cfRule type="cellIs" priority="1" operator="equal" dxfId="0">
      <formula>"Fresh"</formula>
    </cfRule>
    <cfRule type="cellIs" priority="2" operator="equal" dxfId="1">
      <formula>"Expired"</formula>
    </cfRule>
  </conditionalFormatting>
  <conditionalFormatting sqref="G4:G303">
    <cfRule type="expression" priority="3" dxfId="2">
      <formula>AND($G4&lt;&gt;"",OR($H4="",$I4=""))</formula>
    </cfRule>
  </conditionalFormatting>
  <dataValidations count="1">
    <dataValidation sqref="D4:D304" showDropDown="0" showInputMessage="0" showErrorMessage="0" allowBlank="1" type="list">
      <formula1>Lists!$G$1:$G$10</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03"/>
  <sheetViews>
    <sheetView showGridLines="0" workbookViewId="0">
      <pane ySplit="3" topLeftCell="A4" activePane="bottomLeft" state="frozen"/>
      <selection pane="bottomLeft" activeCell="A1" sqref="A1"/>
    </sheetView>
  </sheetViews>
  <sheetFormatPr baseColWidth="8" defaultRowHeight="15"/>
  <cols>
    <col width="13" customWidth="1" min="1" max="1"/>
    <col width="26" customWidth="1" min="2" max="2"/>
    <col width="20" customWidth="1" min="3" max="3"/>
    <col width="24" customWidth="1" min="4" max="4"/>
    <col width="22" customWidth="1" min="5" max="5"/>
    <col width="13" customWidth="1" min="6" max="6"/>
    <col width="10" customWidth="1" min="7" max="7"/>
    <col width="9" customWidth="1" min="8" max="8"/>
    <col width="9" customWidth="1" min="9" max="9"/>
    <col width="10" customWidth="1" min="10" max="10"/>
    <col width="10" customWidth="1" min="11" max="11"/>
    <col width="11" customWidth="1" min="12" max="12"/>
    <col width="32" customWidth="1" min="13" max="13"/>
  </cols>
  <sheetData>
    <row r="1">
      <c r="A1" s="1" t="inlineStr">
        <is>
          <t>Campaign Tracker</t>
        </is>
      </c>
    </row>
    <row r="2">
      <c r="A2" s="2" t="inlineStr">
        <is>
          <t>One row per batch you send. Keep batches small and single-purpose so you can tell what worked.</t>
        </is>
      </c>
    </row>
    <row r="3">
      <c r="A3" s="6" t="inlineStr">
        <is>
          <t>Campaign ID</t>
        </is>
      </c>
      <c r="B3" s="6" t="inlineStr">
        <is>
          <t>Name</t>
        </is>
      </c>
      <c r="C3" s="6" t="inlineStr">
        <is>
          <t>Segment</t>
        </is>
      </c>
      <c r="D3" s="6" t="inlineStr">
        <is>
          <t>Trigger type</t>
        </is>
      </c>
      <c r="E3" s="6" t="inlineStr">
        <is>
          <t>Template used</t>
        </is>
      </c>
      <c r="F3" s="6" t="inlineStr">
        <is>
          <t>Date started</t>
        </is>
      </c>
      <c r="G3" s="6" t="inlineStr">
        <is>
          <t>Accounts</t>
        </is>
      </c>
      <c r="H3" s="6" t="inlineStr">
        <is>
          <t>Sent</t>
        </is>
      </c>
      <c r="I3" s="6" t="inlineStr">
        <is>
          <t>Replies</t>
        </is>
      </c>
      <c r="J3" s="6" t="inlineStr">
        <is>
          <t>Positive</t>
        </is>
      </c>
      <c r="K3" s="6" t="inlineStr">
        <is>
          <t>Reply %</t>
        </is>
      </c>
      <c r="L3" s="6" t="inlineStr">
        <is>
          <t>Positive %</t>
        </is>
      </c>
      <c r="M3" s="6" t="inlineStr">
        <is>
          <t>Notes</t>
        </is>
      </c>
    </row>
    <row r="4">
      <c r="A4" s="7" t="inlineStr">
        <is>
          <t>CAM-001</t>
        </is>
      </c>
      <c r="B4" s="7" t="inlineStr">
        <is>
          <t>(example) Irving medical - moves</t>
        </is>
      </c>
      <c r="C4" s="7" t="inlineStr">
        <is>
          <t>Medical / Dental</t>
        </is>
      </c>
      <c r="D4" s="7" t="inlineStr">
        <is>
          <t>Move / relocation</t>
        </is>
      </c>
      <c r="E4" s="7" t="inlineStr">
        <is>
          <t>Medical - new location</t>
        </is>
      </c>
      <c r="F4" s="7">
        <f>TODAY()-10</f>
        <v/>
      </c>
      <c r="G4" s="7" t="n">
        <v>18</v>
      </c>
      <c r="H4" s="7" t="n">
        <v>18</v>
      </c>
      <c r="I4" s="7" t="n">
        <v>2</v>
      </c>
      <c r="J4" s="7" t="n">
        <v>1</v>
      </c>
      <c r="K4" s="10">
        <f>IF(OR(H4="",H4=0),"",I4/H4)</f>
        <v/>
      </c>
      <c r="L4" s="10">
        <f>IF(OR(H4="",H4=0),"",J4/H4)</f>
        <v/>
      </c>
      <c r="M4" s="7" t="inlineStr">
        <is>
          <t>Small first batch. Learning what gets read.</t>
        </is>
      </c>
    </row>
    <row r="5">
      <c r="A5" s="9" t="n"/>
      <c r="B5" s="9" t="n"/>
      <c r="C5" s="9" t="n"/>
      <c r="D5" s="9" t="n"/>
      <c r="E5" s="9" t="n"/>
      <c r="F5" s="9" t="n"/>
      <c r="G5" s="9" t="n"/>
      <c r="H5" s="9" t="n"/>
      <c r="I5" s="9" t="n"/>
      <c r="J5" s="9" t="n"/>
      <c r="K5" s="11">
        <f>IF(OR(H5="",H5=0),"",I5/H5)</f>
        <v/>
      </c>
      <c r="L5" s="11">
        <f>IF(OR(H5="",H5=0),"",J5/H5)</f>
        <v/>
      </c>
      <c r="M5" s="9" t="n"/>
    </row>
    <row r="6">
      <c r="A6" s="9" t="n"/>
      <c r="B6" s="9" t="n"/>
      <c r="C6" s="9" t="n"/>
      <c r="D6" s="9" t="n"/>
      <c r="E6" s="9" t="n"/>
      <c r="F6" s="9" t="n"/>
      <c r="G6" s="9" t="n"/>
      <c r="H6" s="9" t="n"/>
      <c r="I6" s="9" t="n"/>
      <c r="J6" s="9" t="n"/>
      <c r="K6" s="11">
        <f>IF(OR(H6="",H6=0),"",I6/H6)</f>
        <v/>
      </c>
      <c r="L6" s="11">
        <f>IF(OR(H6="",H6=0),"",J6/H6)</f>
        <v/>
      </c>
      <c r="M6" s="9" t="n"/>
    </row>
    <row r="7">
      <c r="A7" s="9" t="n"/>
      <c r="B7" s="9" t="n"/>
      <c r="C7" s="9" t="n"/>
      <c r="D7" s="9" t="n"/>
      <c r="E7" s="9" t="n"/>
      <c r="F7" s="9" t="n"/>
      <c r="G7" s="9" t="n"/>
      <c r="H7" s="9" t="n"/>
      <c r="I7" s="9" t="n"/>
      <c r="J7" s="9" t="n"/>
      <c r="K7" s="11">
        <f>IF(OR(H7="",H7=0),"",I7/H7)</f>
        <v/>
      </c>
      <c r="L7" s="11">
        <f>IF(OR(H7="",H7=0),"",J7/H7)</f>
        <v/>
      </c>
      <c r="M7" s="9" t="n"/>
    </row>
    <row r="8">
      <c r="A8" s="9" t="n"/>
      <c r="B8" s="9" t="n"/>
      <c r="C8" s="9" t="n"/>
      <c r="D8" s="9" t="n"/>
      <c r="E8" s="9" t="n"/>
      <c r="F8" s="9" t="n"/>
      <c r="G8" s="9" t="n"/>
      <c r="H8" s="9" t="n"/>
      <c r="I8" s="9" t="n"/>
      <c r="J8" s="9" t="n"/>
      <c r="K8" s="11">
        <f>IF(OR(H8="",H8=0),"",I8/H8)</f>
        <v/>
      </c>
      <c r="L8" s="11">
        <f>IF(OR(H8="",H8=0),"",J8/H8)</f>
        <v/>
      </c>
      <c r="M8" s="9" t="n"/>
    </row>
    <row r="9">
      <c r="A9" s="9" t="n"/>
      <c r="B9" s="9" t="n"/>
      <c r="C9" s="9" t="n"/>
      <c r="D9" s="9" t="n"/>
      <c r="E9" s="9" t="n"/>
      <c r="F9" s="9" t="n"/>
      <c r="G9" s="9" t="n"/>
      <c r="H9" s="9" t="n"/>
      <c r="I9" s="9" t="n"/>
      <c r="J9" s="9" t="n"/>
      <c r="K9" s="11">
        <f>IF(OR(H9="",H9=0),"",I9/H9)</f>
        <v/>
      </c>
      <c r="L9" s="11">
        <f>IF(OR(H9="",H9=0),"",J9/H9)</f>
        <v/>
      </c>
      <c r="M9" s="9" t="n"/>
    </row>
    <row r="10">
      <c r="A10" s="9" t="n"/>
      <c r="B10" s="9" t="n"/>
      <c r="C10" s="9" t="n"/>
      <c r="D10" s="9" t="n"/>
      <c r="E10" s="9" t="n"/>
      <c r="F10" s="9" t="n"/>
      <c r="G10" s="9" t="n"/>
      <c r="H10" s="9" t="n"/>
      <c r="I10" s="9" t="n"/>
      <c r="J10" s="9" t="n"/>
      <c r="K10" s="11">
        <f>IF(OR(H10="",H10=0),"",I10/H10)</f>
        <v/>
      </c>
      <c r="L10" s="11">
        <f>IF(OR(H10="",H10=0),"",J10/H10)</f>
        <v/>
      </c>
      <c r="M10" s="9" t="n"/>
    </row>
    <row r="11">
      <c r="A11" s="9" t="n"/>
      <c r="B11" s="9" t="n"/>
      <c r="C11" s="9" t="n"/>
      <c r="D11" s="9" t="n"/>
      <c r="E11" s="9" t="n"/>
      <c r="F11" s="9" t="n"/>
      <c r="G11" s="9" t="n"/>
      <c r="H11" s="9" t="n"/>
      <c r="I11" s="9" t="n"/>
      <c r="J11" s="9" t="n"/>
      <c r="K11" s="11">
        <f>IF(OR(H11="",H11=0),"",I11/H11)</f>
        <v/>
      </c>
      <c r="L11" s="11">
        <f>IF(OR(H11="",H11=0),"",J11/H11)</f>
        <v/>
      </c>
      <c r="M11" s="9" t="n"/>
    </row>
    <row r="12">
      <c r="A12" s="9" t="n"/>
      <c r="B12" s="9" t="n"/>
      <c r="C12" s="9" t="n"/>
      <c r="D12" s="9" t="n"/>
      <c r="E12" s="9" t="n"/>
      <c r="F12" s="9" t="n"/>
      <c r="G12" s="9" t="n"/>
      <c r="H12" s="9" t="n"/>
      <c r="I12" s="9" t="n"/>
      <c r="J12" s="9" t="n"/>
      <c r="K12" s="11">
        <f>IF(OR(H12="",H12=0),"",I12/H12)</f>
        <v/>
      </c>
      <c r="L12" s="11">
        <f>IF(OR(H12="",H12=0),"",J12/H12)</f>
        <v/>
      </c>
      <c r="M12" s="9" t="n"/>
    </row>
    <row r="13">
      <c r="A13" s="9" t="n"/>
      <c r="B13" s="9" t="n"/>
      <c r="C13" s="9" t="n"/>
      <c r="D13" s="9" t="n"/>
      <c r="E13" s="9" t="n"/>
      <c r="F13" s="9" t="n"/>
      <c r="G13" s="9" t="n"/>
      <c r="H13" s="9" t="n"/>
      <c r="I13" s="9" t="n"/>
      <c r="J13" s="9" t="n"/>
      <c r="K13" s="11">
        <f>IF(OR(H13="",H13=0),"",I13/H13)</f>
        <v/>
      </c>
      <c r="L13" s="11">
        <f>IF(OR(H13="",H13=0),"",J13/H13)</f>
        <v/>
      </c>
      <c r="M13" s="9" t="n"/>
    </row>
    <row r="14">
      <c r="A14" s="9" t="n"/>
      <c r="B14" s="9" t="n"/>
      <c r="C14" s="9" t="n"/>
      <c r="D14" s="9" t="n"/>
      <c r="E14" s="9" t="n"/>
      <c r="F14" s="9" t="n"/>
      <c r="G14" s="9" t="n"/>
      <c r="H14" s="9" t="n"/>
      <c r="I14" s="9" t="n"/>
      <c r="J14" s="9" t="n"/>
      <c r="K14" s="11">
        <f>IF(OR(H14="",H14=0),"",I14/H14)</f>
        <v/>
      </c>
      <c r="L14" s="11">
        <f>IF(OR(H14="",H14=0),"",J14/H14)</f>
        <v/>
      </c>
      <c r="M14" s="9" t="n"/>
    </row>
    <row r="15">
      <c r="A15" s="9" t="n"/>
      <c r="B15" s="9" t="n"/>
      <c r="C15" s="9" t="n"/>
      <c r="D15" s="9" t="n"/>
      <c r="E15" s="9" t="n"/>
      <c r="F15" s="9" t="n"/>
      <c r="G15" s="9" t="n"/>
      <c r="H15" s="9" t="n"/>
      <c r="I15" s="9" t="n"/>
      <c r="J15" s="9" t="n"/>
      <c r="K15" s="11">
        <f>IF(OR(H15="",H15=0),"",I15/H15)</f>
        <v/>
      </c>
      <c r="L15" s="11">
        <f>IF(OR(H15="",H15=0),"",J15/H15)</f>
        <v/>
      </c>
      <c r="M15" s="9" t="n"/>
    </row>
    <row r="16">
      <c r="A16" s="9" t="n"/>
      <c r="B16" s="9" t="n"/>
      <c r="C16" s="9" t="n"/>
      <c r="D16" s="9" t="n"/>
      <c r="E16" s="9" t="n"/>
      <c r="F16" s="9" t="n"/>
      <c r="G16" s="9" t="n"/>
      <c r="H16" s="9" t="n"/>
      <c r="I16" s="9" t="n"/>
      <c r="J16" s="9" t="n"/>
      <c r="K16" s="11">
        <f>IF(OR(H16="",H16=0),"",I16/H16)</f>
        <v/>
      </c>
      <c r="L16" s="11">
        <f>IF(OR(H16="",H16=0),"",J16/H16)</f>
        <v/>
      </c>
      <c r="M16" s="9" t="n"/>
    </row>
    <row r="17">
      <c r="A17" s="9" t="n"/>
      <c r="B17" s="9" t="n"/>
      <c r="C17" s="9" t="n"/>
      <c r="D17" s="9" t="n"/>
      <c r="E17" s="9" t="n"/>
      <c r="F17" s="9" t="n"/>
      <c r="G17" s="9" t="n"/>
      <c r="H17" s="9" t="n"/>
      <c r="I17" s="9" t="n"/>
      <c r="J17" s="9" t="n"/>
      <c r="K17" s="11">
        <f>IF(OR(H17="",H17=0),"",I17/H17)</f>
        <v/>
      </c>
      <c r="L17" s="11">
        <f>IF(OR(H17="",H17=0),"",J17/H17)</f>
        <v/>
      </c>
      <c r="M17" s="9" t="n"/>
    </row>
    <row r="18">
      <c r="A18" s="9" t="n"/>
      <c r="B18" s="9" t="n"/>
      <c r="C18" s="9" t="n"/>
      <c r="D18" s="9" t="n"/>
      <c r="E18" s="9" t="n"/>
      <c r="F18" s="9" t="n"/>
      <c r="G18" s="9" t="n"/>
      <c r="H18" s="9" t="n"/>
      <c r="I18" s="9" t="n"/>
      <c r="J18" s="9" t="n"/>
      <c r="K18" s="11">
        <f>IF(OR(H18="",H18=0),"",I18/H18)</f>
        <v/>
      </c>
      <c r="L18" s="11">
        <f>IF(OR(H18="",H18=0),"",J18/H18)</f>
        <v/>
      </c>
      <c r="M18" s="9" t="n"/>
    </row>
    <row r="19">
      <c r="A19" s="9" t="n"/>
      <c r="B19" s="9" t="n"/>
      <c r="C19" s="9" t="n"/>
      <c r="D19" s="9" t="n"/>
      <c r="E19" s="9" t="n"/>
      <c r="F19" s="9" t="n"/>
      <c r="G19" s="9" t="n"/>
      <c r="H19" s="9" t="n"/>
      <c r="I19" s="9" t="n"/>
      <c r="J19" s="9" t="n"/>
      <c r="K19" s="11">
        <f>IF(OR(H19="",H19=0),"",I19/H19)</f>
        <v/>
      </c>
      <c r="L19" s="11">
        <f>IF(OR(H19="",H19=0),"",J19/H19)</f>
        <v/>
      </c>
      <c r="M19" s="9" t="n"/>
    </row>
    <row r="20">
      <c r="A20" s="9" t="n"/>
      <c r="B20" s="9" t="n"/>
      <c r="C20" s="9" t="n"/>
      <c r="D20" s="9" t="n"/>
      <c r="E20" s="9" t="n"/>
      <c r="F20" s="9" t="n"/>
      <c r="G20" s="9" t="n"/>
      <c r="H20" s="9" t="n"/>
      <c r="I20" s="9" t="n"/>
      <c r="J20" s="9" t="n"/>
      <c r="K20" s="11">
        <f>IF(OR(H20="",H20=0),"",I20/H20)</f>
        <v/>
      </c>
      <c r="L20" s="11">
        <f>IF(OR(H20="",H20=0),"",J20/H20)</f>
        <v/>
      </c>
      <c r="M20" s="9" t="n"/>
    </row>
    <row r="21">
      <c r="A21" s="9" t="n"/>
      <c r="B21" s="9" t="n"/>
      <c r="C21" s="9" t="n"/>
      <c r="D21" s="9" t="n"/>
      <c r="E21" s="9" t="n"/>
      <c r="F21" s="9" t="n"/>
      <c r="G21" s="9" t="n"/>
      <c r="H21" s="9" t="n"/>
      <c r="I21" s="9" t="n"/>
      <c r="J21" s="9" t="n"/>
      <c r="K21" s="11">
        <f>IF(OR(H21="",H21=0),"",I21/H21)</f>
        <v/>
      </c>
      <c r="L21" s="11">
        <f>IF(OR(H21="",H21=0),"",J21/H21)</f>
        <v/>
      </c>
      <c r="M21" s="9" t="n"/>
    </row>
    <row r="22">
      <c r="A22" s="9" t="n"/>
      <c r="B22" s="9" t="n"/>
      <c r="C22" s="9" t="n"/>
      <c r="D22" s="9" t="n"/>
      <c r="E22" s="9" t="n"/>
      <c r="F22" s="9" t="n"/>
      <c r="G22" s="9" t="n"/>
      <c r="H22" s="9" t="n"/>
      <c r="I22" s="9" t="n"/>
      <c r="J22" s="9" t="n"/>
      <c r="K22" s="11">
        <f>IF(OR(H22="",H22=0),"",I22/H22)</f>
        <v/>
      </c>
      <c r="L22" s="11">
        <f>IF(OR(H22="",H22=0),"",J22/H22)</f>
        <v/>
      </c>
      <c r="M22" s="9" t="n"/>
    </row>
    <row r="23">
      <c r="A23" s="9" t="n"/>
      <c r="B23" s="9" t="n"/>
      <c r="C23" s="9" t="n"/>
      <c r="D23" s="9" t="n"/>
      <c r="E23" s="9" t="n"/>
      <c r="F23" s="9" t="n"/>
      <c r="G23" s="9" t="n"/>
      <c r="H23" s="9" t="n"/>
      <c r="I23" s="9" t="n"/>
      <c r="J23" s="9" t="n"/>
      <c r="K23" s="11">
        <f>IF(OR(H23="",H23=0),"",I23/H23)</f>
        <v/>
      </c>
      <c r="L23" s="11">
        <f>IF(OR(H23="",H23=0),"",J23/H23)</f>
        <v/>
      </c>
      <c r="M23" s="9" t="n"/>
    </row>
    <row r="24">
      <c r="A24" s="9" t="n"/>
      <c r="B24" s="9" t="n"/>
      <c r="C24" s="9" t="n"/>
      <c r="D24" s="9" t="n"/>
      <c r="E24" s="9" t="n"/>
      <c r="F24" s="9" t="n"/>
      <c r="G24" s="9" t="n"/>
      <c r="H24" s="9" t="n"/>
      <c r="I24" s="9" t="n"/>
      <c r="J24" s="9" t="n"/>
      <c r="K24" s="11">
        <f>IF(OR(H24="",H24=0),"",I24/H24)</f>
        <v/>
      </c>
      <c r="L24" s="11">
        <f>IF(OR(H24="",H24=0),"",J24/H24)</f>
        <v/>
      </c>
      <c r="M24" s="9" t="n"/>
    </row>
    <row r="25">
      <c r="A25" s="9" t="n"/>
      <c r="B25" s="9" t="n"/>
      <c r="C25" s="9" t="n"/>
      <c r="D25" s="9" t="n"/>
      <c r="E25" s="9" t="n"/>
      <c r="F25" s="9" t="n"/>
      <c r="G25" s="9" t="n"/>
      <c r="H25" s="9" t="n"/>
      <c r="I25" s="9" t="n"/>
      <c r="J25" s="9" t="n"/>
      <c r="K25" s="11">
        <f>IF(OR(H25="",H25=0),"",I25/H25)</f>
        <v/>
      </c>
      <c r="L25" s="11">
        <f>IF(OR(H25="",H25=0),"",J25/H25)</f>
        <v/>
      </c>
      <c r="M25" s="9" t="n"/>
    </row>
    <row r="26">
      <c r="A26" s="9" t="n"/>
      <c r="B26" s="9" t="n"/>
      <c r="C26" s="9" t="n"/>
      <c r="D26" s="9" t="n"/>
      <c r="E26" s="9" t="n"/>
      <c r="F26" s="9" t="n"/>
      <c r="G26" s="9" t="n"/>
      <c r="H26" s="9" t="n"/>
      <c r="I26" s="9" t="n"/>
      <c r="J26" s="9" t="n"/>
      <c r="K26" s="11">
        <f>IF(OR(H26="",H26=0),"",I26/H26)</f>
        <v/>
      </c>
      <c r="L26" s="11">
        <f>IF(OR(H26="",H26=0),"",J26/H26)</f>
        <v/>
      </c>
      <c r="M26" s="9" t="n"/>
    </row>
    <row r="27">
      <c r="A27" s="9" t="n"/>
      <c r="B27" s="9" t="n"/>
      <c r="C27" s="9" t="n"/>
      <c r="D27" s="9" t="n"/>
      <c r="E27" s="9" t="n"/>
      <c r="F27" s="9" t="n"/>
      <c r="G27" s="9" t="n"/>
      <c r="H27" s="9" t="n"/>
      <c r="I27" s="9" t="n"/>
      <c r="J27" s="9" t="n"/>
      <c r="K27" s="11">
        <f>IF(OR(H27="",H27=0),"",I27/H27)</f>
        <v/>
      </c>
      <c r="L27" s="11">
        <f>IF(OR(H27="",H27=0),"",J27/H27)</f>
        <v/>
      </c>
      <c r="M27" s="9" t="n"/>
    </row>
    <row r="28">
      <c r="A28" s="9" t="n"/>
      <c r="B28" s="9" t="n"/>
      <c r="C28" s="9" t="n"/>
      <c r="D28" s="9" t="n"/>
      <c r="E28" s="9" t="n"/>
      <c r="F28" s="9" t="n"/>
      <c r="G28" s="9" t="n"/>
      <c r="H28" s="9" t="n"/>
      <c r="I28" s="9" t="n"/>
      <c r="J28" s="9" t="n"/>
      <c r="K28" s="11">
        <f>IF(OR(H28="",H28=0),"",I28/H28)</f>
        <v/>
      </c>
      <c r="L28" s="11">
        <f>IF(OR(H28="",H28=0),"",J28/H28)</f>
        <v/>
      </c>
      <c r="M28" s="9" t="n"/>
    </row>
    <row r="29">
      <c r="A29" s="9" t="n"/>
      <c r="B29" s="9" t="n"/>
      <c r="C29" s="9" t="n"/>
      <c r="D29" s="9" t="n"/>
      <c r="E29" s="9" t="n"/>
      <c r="F29" s="9" t="n"/>
      <c r="G29" s="9" t="n"/>
      <c r="H29" s="9" t="n"/>
      <c r="I29" s="9" t="n"/>
      <c r="J29" s="9" t="n"/>
      <c r="K29" s="11">
        <f>IF(OR(H29="",H29=0),"",I29/H29)</f>
        <v/>
      </c>
      <c r="L29" s="11">
        <f>IF(OR(H29="",H29=0),"",J29/H29)</f>
        <v/>
      </c>
      <c r="M29" s="9" t="n"/>
    </row>
    <row r="30">
      <c r="A30" s="9" t="n"/>
      <c r="B30" s="9" t="n"/>
      <c r="C30" s="9" t="n"/>
      <c r="D30" s="9" t="n"/>
      <c r="E30" s="9" t="n"/>
      <c r="F30" s="9" t="n"/>
      <c r="G30" s="9" t="n"/>
      <c r="H30" s="9" t="n"/>
      <c r="I30" s="9" t="n"/>
      <c r="J30" s="9" t="n"/>
      <c r="K30" s="11">
        <f>IF(OR(H30="",H30=0),"",I30/H30)</f>
        <v/>
      </c>
      <c r="L30" s="11">
        <f>IF(OR(H30="",H30=0),"",J30/H30)</f>
        <v/>
      </c>
      <c r="M30" s="9" t="n"/>
    </row>
    <row r="31">
      <c r="A31" s="9" t="n"/>
      <c r="B31" s="9" t="n"/>
      <c r="C31" s="9" t="n"/>
      <c r="D31" s="9" t="n"/>
      <c r="E31" s="9" t="n"/>
      <c r="F31" s="9" t="n"/>
      <c r="G31" s="9" t="n"/>
      <c r="H31" s="9" t="n"/>
      <c r="I31" s="9" t="n"/>
      <c r="J31" s="9" t="n"/>
      <c r="K31" s="11">
        <f>IF(OR(H31="",H31=0),"",I31/H31)</f>
        <v/>
      </c>
      <c r="L31" s="11">
        <f>IF(OR(H31="",H31=0),"",J31/H31)</f>
        <v/>
      </c>
      <c r="M31" s="9" t="n"/>
    </row>
    <row r="32">
      <c r="A32" s="9" t="n"/>
      <c r="B32" s="9" t="n"/>
      <c r="C32" s="9" t="n"/>
      <c r="D32" s="9" t="n"/>
      <c r="E32" s="9" t="n"/>
      <c r="F32" s="9" t="n"/>
      <c r="G32" s="9" t="n"/>
      <c r="H32" s="9" t="n"/>
      <c r="I32" s="9" t="n"/>
      <c r="J32" s="9" t="n"/>
      <c r="K32" s="11">
        <f>IF(OR(H32="",H32=0),"",I32/H32)</f>
        <v/>
      </c>
      <c r="L32" s="11">
        <f>IF(OR(H32="",H32=0),"",J32/H32)</f>
        <v/>
      </c>
      <c r="M32" s="9" t="n"/>
    </row>
    <row r="33">
      <c r="A33" s="9" t="n"/>
      <c r="B33" s="9" t="n"/>
      <c r="C33" s="9" t="n"/>
      <c r="D33" s="9" t="n"/>
      <c r="E33" s="9" t="n"/>
      <c r="F33" s="9" t="n"/>
      <c r="G33" s="9" t="n"/>
      <c r="H33" s="9" t="n"/>
      <c r="I33" s="9" t="n"/>
      <c r="J33" s="9" t="n"/>
      <c r="K33" s="11">
        <f>IF(OR(H33="",H33=0),"",I33/H33)</f>
        <v/>
      </c>
      <c r="L33" s="11">
        <f>IF(OR(H33="",H33=0),"",J33/H33)</f>
        <v/>
      </c>
      <c r="M33" s="9" t="n"/>
    </row>
    <row r="34">
      <c r="A34" s="9" t="n"/>
      <c r="B34" s="9" t="n"/>
      <c r="C34" s="9" t="n"/>
      <c r="D34" s="9" t="n"/>
      <c r="E34" s="9" t="n"/>
      <c r="F34" s="9" t="n"/>
      <c r="G34" s="9" t="n"/>
      <c r="H34" s="9" t="n"/>
      <c r="I34" s="9" t="n"/>
      <c r="J34" s="9" t="n"/>
      <c r="K34" s="11">
        <f>IF(OR(H34="",H34=0),"",I34/H34)</f>
        <v/>
      </c>
      <c r="L34" s="11">
        <f>IF(OR(H34="",H34=0),"",J34/H34)</f>
        <v/>
      </c>
      <c r="M34" s="9" t="n"/>
    </row>
    <row r="35">
      <c r="A35" s="9" t="n"/>
      <c r="B35" s="9" t="n"/>
      <c r="C35" s="9" t="n"/>
      <c r="D35" s="9" t="n"/>
      <c r="E35" s="9" t="n"/>
      <c r="F35" s="9" t="n"/>
      <c r="G35" s="9" t="n"/>
      <c r="H35" s="9" t="n"/>
      <c r="I35" s="9" t="n"/>
      <c r="J35" s="9" t="n"/>
      <c r="K35" s="11">
        <f>IF(OR(H35="",H35=0),"",I35/H35)</f>
        <v/>
      </c>
      <c r="L35" s="11">
        <f>IF(OR(H35="",H35=0),"",J35/H35)</f>
        <v/>
      </c>
      <c r="M35" s="9" t="n"/>
    </row>
    <row r="36">
      <c r="A36" s="9" t="n"/>
      <c r="B36" s="9" t="n"/>
      <c r="C36" s="9" t="n"/>
      <c r="D36" s="9" t="n"/>
      <c r="E36" s="9" t="n"/>
      <c r="F36" s="9" t="n"/>
      <c r="G36" s="9" t="n"/>
      <c r="H36" s="9" t="n"/>
      <c r="I36" s="9" t="n"/>
      <c r="J36" s="9" t="n"/>
      <c r="K36" s="11">
        <f>IF(OR(H36="",H36=0),"",I36/H36)</f>
        <v/>
      </c>
      <c r="L36" s="11">
        <f>IF(OR(H36="",H36=0),"",J36/H36)</f>
        <v/>
      </c>
      <c r="M36" s="9" t="n"/>
    </row>
    <row r="37">
      <c r="A37" s="9" t="n"/>
      <c r="B37" s="9" t="n"/>
      <c r="C37" s="9" t="n"/>
      <c r="D37" s="9" t="n"/>
      <c r="E37" s="9" t="n"/>
      <c r="F37" s="9" t="n"/>
      <c r="G37" s="9" t="n"/>
      <c r="H37" s="9" t="n"/>
      <c r="I37" s="9" t="n"/>
      <c r="J37" s="9" t="n"/>
      <c r="K37" s="11">
        <f>IF(OR(H37="",H37=0),"",I37/H37)</f>
        <v/>
      </c>
      <c r="L37" s="11">
        <f>IF(OR(H37="",H37=0),"",J37/H37)</f>
        <v/>
      </c>
      <c r="M37" s="9" t="n"/>
    </row>
    <row r="38">
      <c r="A38" s="9" t="n"/>
      <c r="B38" s="9" t="n"/>
      <c r="C38" s="9" t="n"/>
      <c r="D38" s="9" t="n"/>
      <c r="E38" s="9" t="n"/>
      <c r="F38" s="9" t="n"/>
      <c r="G38" s="9" t="n"/>
      <c r="H38" s="9" t="n"/>
      <c r="I38" s="9" t="n"/>
      <c r="J38" s="9" t="n"/>
      <c r="K38" s="11">
        <f>IF(OR(H38="",H38=0),"",I38/H38)</f>
        <v/>
      </c>
      <c r="L38" s="11">
        <f>IF(OR(H38="",H38=0),"",J38/H38)</f>
        <v/>
      </c>
      <c r="M38" s="9" t="n"/>
    </row>
    <row r="39">
      <c r="A39" s="9" t="n"/>
      <c r="B39" s="9" t="n"/>
      <c r="C39" s="9" t="n"/>
      <c r="D39" s="9" t="n"/>
      <c r="E39" s="9" t="n"/>
      <c r="F39" s="9" t="n"/>
      <c r="G39" s="9" t="n"/>
      <c r="H39" s="9" t="n"/>
      <c r="I39" s="9" t="n"/>
      <c r="J39" s="9" t="n"/>
      <c r="K39" s="11">
        <f>IF(OR(H39="",H39=0),"",I39/H39)</f>
        <v/>
      </c>
      <c r="L39" s="11">
        <f>IF(OR(H39="",H39=0),"",J39/H39)</f>
        <v/>
      </c>
      <c r="M39" s="9" t="n"/>
    </row>
    <row r="40">
      <c r="A40" s="9" t="n"/>
      <c r="B40" s="9" t="n"/>
      <c r="C40" s="9" t="n"/>
      <c r="D40" s="9" t="n"/>
      <c r="E40" s="9" t="n"/>
      <c r="F40" s="9" t="n"/>
      <c r="G40" s="9" t="n"/>
      <c r="H40" s="9" t="n"/>
      <c r="I40" s="9" t="n"/>
      <c r="J40" s="9" t="n"/>
      <c r="K40" s="11">
        <f>IF(OR(H40="",H40=0),"",I40/H40)</f>
        <v/>
      </c>
      <c r="L40" s="11">
        <f>IF(OR(H40="",H40=0),"",J40/H40)</f>
        <v/>
      </c>
      <c r="M40" s="9" t="n"/>
    </row>
    <row r="41">
      <c r="A41" s="9" t="n"/>
      <c r="B41" s="9" t="n"/>
      <c r="C41" s="9" t="n"/>
      <c r="D41" s="9" t="n"/>
      <c r="E41" s="9" t="n"/>
      <c r="F41" s="9" t="n"/>
      <c r="G41" s="9" t="n"/>
      <c r="H41" s="9" t="n"/>
      <c r="I41" s="9" t="n"/>
      <c r="J41" s="9" t="n"/>
      <c r="K41" s="11">
        <f>IF(OR(H41="",H41=0),"",I41/H41)</f>
        <v/>
      </c>
      <c r="L41" s="11">
        <f>IF(OR(H41="",H41=0),"",J41/H41)</f>
        <v/>
      </c>
      <c r="M41" s="9" t="n"/>
    </row>
    <row r="42">
      <c r="A42" s="9" t="n"/>
      <c r="B42" s="9" t="n"/>
      <c r="C42" s="9" t="n"/>
      <c r="D42" s="9" t="n"/>
      <c r="E42" s="9" t="n"/>
      <c r="F42" s="9" t="n"/>
      <c r="G42" s="9" t="n"/>
      <c r="H42" s="9" t="n"/>
      <c r="I42" s="9" t="n"/>
      <c r="J42" s="9" t="n"/>
      <c r="K42" s="11">
        <f>IF(OR(H42="",H42=0),"",I42/H42)</f>
        <v/>
      </c>
      <c r="L42" s="11">
        <f>IF(OR(H42="",H42=0),"",J42/H42)</f>
        <v/>
      </c>
      <c r="M42" s="9" t="n"/>
    </row>
    <row r="43">
      <c r="A43" s="9" t="n"/>
      <c r="B43" s="9" t="n"/>
      <c r="C43" s="9" t="n"/>
      <c r="D43" s="9" t="n"/>
      <c r="E43" s="9" t="n"/>
      <c r="F43" s="9" t="n"/>
      <c r="G43" s="9" t="n"/>
      <c r="H43" s="9" t="n"/>
      <c r="I43" s="9" t="n"/>
      <c r="J43" s="9" t="n"/>
      <c r="K43" s="11">
        <f>IF(OR(H43="",H43=0),"",I43/H43)</f>
        <v/>
      </c>
      <c r="L43" s="11">
        <f>IF(OR(H43="",H43=0),"",J43/H43)</f>
        <v/>
      </c>
      <c r="M43" s="9" t="n"/>
    </row>
    <row r="44">
      <c r="A44" s="9" t="n"/>
      <c r="B44" s="9" t="n"/>
      <c r="C44" s="9" t="n"/>
      <c r="D44" s="9" t="n"/>
      <c r="E44" s="9" t="n"/>
      <c r="F44" s="9" t="n"/>
      <c r="G44" s="9" t="n"/>
      <c r="H44" s="9" t="n"/>
      <c r="I44" s="9" t="n"/>
      <c r="J44" s="9" t="n"/>
      <c r="K44" s="11">
        <f>IF(OR(H44="",H44=0),"",I44/H44)</f>
        <v/>
      </c>
      <c r="L44" s="11">
        <f>IF(OR(H44="",H44=0),"",J44/H44)</f>
        <v/>
      </c>
      <c r="M44" s="9" t="n"/>
    </row>
    <row r="45">
      <c r="A45" s="9" t="n"/>
      <c r="B45" s="9" t="n"/>
      <c r="C45" s="9" t="n"/>
      <c r="D45" s="9" t="n"/>
      <c r="E45" s="9" t="n"/>
      <c r="F45" s="9" t="n"/>
      <c r="G45" s="9" t="n"/>
      <c r="H45" s="9" t="n"/>
      <c r="I45" s="9" t="n"/>
      <c r="J45" s="9" t="n"/>
      <c r="K45" s="11">
        <f>IF(OR(H45="",H45=0),"",I45/H45)</f>
        <v/>
      </c>
      <c r="L45" s="11">
        <f>IF(OR(H45="",H45=0),"",J45/H45)</f>
        <v/>
      </c>
      <c r="M45" s="9" t="n"/>
    </row>
    <row r="46">
      <c r="A46" s="9" t="n"/>
      <c r="B46" s="9" t="n"/>
      <c r="C46" s="9" t="n"/>
      <c r="D46" s="9" t="n"/>
      <c r="E46" s="9" t="n"/>
      <c r="F46" s="9" t="n"/>
      <c r="G46" s="9" t="n"/>
      <c r="H46" s="9" t="n"/>
      <c r="I46" s="9" t="n"/>
      <c r="J46" s="9" t="n"/>
      <c r="K46" s="11">
        <f>IF(OR(H46="",H46=0),"",I46/H46)</f>
        <v/>
      </c>
      <c r="L46" s="11">
        <f>IF(OR(H46="",H46=0),"",J46/H46)</f>
        <v/>
      </c>
      <c r="M46" s="9" t="n"/>
    </row>
    <row r="47">
      <c r="A47" s="9" t="n"/>
      <c r="B47" s="9" t="n"/>
      <c r="C47" s="9" t="n"/>
      <c r="D47" s="9" t="n"/>
      <c r="E47" s="9" t="n"/>
      <c r="F47" s="9" t="n"/>
      <c r="G47" s="9" t="n"/>
      <c r="H47" s="9" t="n"/>
      <c r="I47" s="9" t="n"/>
      <c r="J47" s="9" t="n"/>
      <c r="K47" s="11">
        <f>IF(OR(H47="",H47=0),"",I47/H47)</f>
        <v/>
      </c>
      <c r="L47" s="11">
        <f>IF(OR(H47="",H47=0),"",J47/H47)</f>
        <v/>
      </c>
      <c r="M47" s="9" t="n"/>
    </row>
    <row r="48">
      <c r="A48" s="9" t="n"/>
      <c r="B48" s="9" t="n"/>
      <c r="C48" s="9" t="n"/>
      <c r="D48" s="9" t="n"/>
      <c r="E48" s="9" t="n"/>
      <c r="F48" s="9" t="n"/>
      <c r="G48" s="9" t="n"/>
      <c r="H48" s="9" t="n"/>
      <c r="I48" s="9" t="n"/>
      <c r="J48" s="9" t="n"/>
      <c r="K48" s="11">
        <f>IF(OR(H48="",H48=0),"",I48/H48)</f>
        <v/>
      </c>
      <c r="L48" s="11">
        <f>IF(OR(H48="",H48=0),"",J48/H48)</f>
        <v/>
      </c>
      <c r="M48" s="9" t="n"/>
    </row>
    <row r="49">
      <c r="A49" s="9" t="n"/>
      <c r="B49" s="9" t="n"/>
      <c r="C49" s="9" t="n"/>
      <c r="D49" s="9" t="n"/>
      <c r="E49" s="9" t="n"/>
      <c r="F49" s="9" t="n"/>
      <c r="G49" s="9" t="n"/>
      <c r="H49" s="9" t="n"/>
      <c r="I49" s="9" t="n"/>
      <c r="J49" s="9" t="n"/>
      <c r="K49" s="11">
        <f>IF(OR(H49="",H49=0),"",I49/H49)</f>
        <v/>
      </c>
      <c r="L49" s="11">
        <f>IF(OR(H49="",H49=0),"",J49/H49)</f>
        <v/>
      </c>
      <c r="M49" s="9" t="n"/>
    </row>
    <row r="50">
      <c r="A50" s="9" t="n"/>
      <c r="B50" s="9" t="n"/>
      <c r="C50" s="9" t="n"/>
      <c r="D50" s="9" t="n"/>
      <c r="E50" s="9" t="n"/>
      <c r="F50" s="9" t="n"/>
      <c r="G50" s="9" t="n"/>
      <c r="H50" s="9" t="n"/>
      <c r="I50" s="9" t="n"/>
      <c r="J50" s="9" t="n"/>
      <c r="K50" s="11">
        <f>IF(OR(H50="",H50=0),"",I50/H50)</f>
        <v/>
      </c>
      <c r="L50" s="11">
        <f>IF(OR(H50="",H50=0),"",J50/H50)</f>
        <v/>
      </c>
      <c r="M50" s="9" t="n"/>
    </row>
    <row r="51">
      <c r="A51" s="9" t="n"/>
      <c r="B51" s="9" t="n"/>
      <c r="C51" s="9" t="n"/>
      <c r="D51" s="9" t="n"/>
      <c r="E51" s="9" t="n"/>
      <c r="F51" s="9" t="n"/>
      <c r="G51" s="9" t="n"/>
      <c r="H51" s="9" t="n"/>
      <c r="I51" s="9" t="n"/>
      <c r="J51" s="9" t="n"/>
      <c r="K51" s="11">
        <f>IF(OR(H51="",H51=0),"",I51/H51)</f>
        <v/>
      </c>
      <c r="L51" s="11">
        <f>IF(OR(H51="",H51=0),"",J51/H51)</f>
        <v/>
      </c>
      <c r="M51" s="9" t="n"/>
    </row>
    <row r="52">
      <c r="A52" s="9" t="n"/>
      <c r="B52" s="9" t="n"/>
      <c r="C52" s="9" t="n"/>
      <c r="D52" s="9" t="n"/>
      <c r="E52" s="9" t="n"/>
      <c r="F52" s="9" t="n"/>
      <c r="G52" s="9" t="n"/>
      <c r="H52" s="9" t="n"/>
      <c r="I52" s="9" t="n"/>
      <c r="J52" s="9" t="n"/>
      <c r="K52" s="11">
        <f>IF(OR(H52="",H52=0),"",I52/H52)</f>
        <v/>
      </c>
      <c r="L52" s="11">
        <f>IF(OR(H52="",H52=0),"",J52/H52)</f>
        <v/>
      </c>
      <c r="M52" s="9" t="n"/>
    </row>
    <row r="53">
      <c r="A53" s="9" t="n"/>
      <c r="B53" s="9" t="n"/>
      <c r="C53" s="9" t="n"/>
      <c r="D53" s="9" t="n"/>
      <c r="E53" s="9" t="n"/>
      <c r="F53" s="9" t="n"/>
      <c r="G53" s="9" t="n"/>
      <c r="H53" s="9" t="n"/>
      <c r="I53" s="9" t="n"/>
      <c r="J53" s="9" t="n"/>
      <c r="K53" s="11">
        <f>IF(OR(H53="",H53=0),"",I53/H53)</f>
        <v/>
      </c>
      <c r="L53" s="11">
        <f>IF(OR(H53="",H53=0),"",J53/H53)</f>
        <v/>
      </c>
      <c r="M53" s="9" t="n"/>
    </row>
    <row r="54">
      <c r="A54" s="9" t="n"/>
      <c r="B54" s="9" t="n"/>
      <c r="C54" s="9" t="n"/>
      <c r="D54" s="9" t="n"/>
      <c r="E54" s="9" t="n"/>
      <c r="F54" s="9" t="n"/>
      <c r="G54" s="9" t="n"/>
      <c r="H54" s="9" t="n"/>
      <c r="I54" s="9" t="n"/>
      <c r="J54" s="9" t="n"/>
      <c r="K54" s="11">
        <f>IF(OR(H54="",H54=0),"",I54/H54)</f>
        <v/>
      </c>
      <c r="L54" s="11">
        <f>IF(OR(H54="",H54=0),"",J54/H54)</f>
        <v/>
      </c>
      <c r="M54" s="9" t="n"/>
    </row>
    <row r="55">
      <c r="A55" s="9" t="n"/>
      <c r="B55" s="9" t="n"/>
      <c r="C55" s="9" t="n"/>
      <c r="D55" s="9" t="n"/>
      <c r="E55" s="9" t="n"/>
      <c r="F55" s="9" t="n"/>
      <c r="G55" s="9" t="n"/>
      <c r="H55" s="9" t="n"/>
      <c r="I55" s="9" t="n"/>
      <c r="J55" s="9" t="n"/>
      <c r="K55" s="11">
        <f>IF(OR(H55="",H55=0),"",I55/H55)</f>
        <v/>
      </c>
      <c r="L55" s="11">
        <f>IF(OR(H55="",H55=0),"",J55/H55)</f>
        <v/>
      </c>
      <c r="M55" s="9" t="n"/>
    </row>
    <row r="56">
      <c r="A56" s="9" t="n"/>
      <c r="B56" s="9" t="n"/>
      <c r="C56" s="9" t="n"/>
      <c r="D56" s="9" t="n"/>
      <c r="E56" s="9" t="n"/>
      <c r="F56" s="9" t="n"/>
      <c r="G56" s="9" t="n"/>
      <c r="H56" s="9" t="n"/>
      <c r="I56" s="9" t="n"/>
      <c r="J56" s="9" t="n"/>
      <c r="K56" s="11">
        <f>IF(OR(H56="",H56=0),"",I56/H56)</f>
        <v/>
      </c>
      <c r="L56" s="11">
        <f>IF(OR(H56="",H56=0),"",J56/H56)</f>
        <v/>
      </c>
      <c r="M56" s="9" t="n"/>
    </row>
    <row r="57">
      <c r="A57" s="9" t="n"/>
      <c r="B57" s="9" t="n"/>
      <c r="C57" s="9" t="n"/>
      <c r="D57" s="9" t="n"/>
      <c r="E57" s="9" t="n"/>
      <c r="F57" s="9" t="n"/>
      <c r="G57" s="9" t="n"/>
      <c r="H57" s="9" t="n"/>
      <c r="I57" s="9" t="n"/>
      <c r="J57" s="9" t="n"/>
      <c r="K57" s="11">
        <f>IF(OR(H57="",H57=0),"",I57/H57)</f>
        <v/>
      </c>
      <c r="L57" s="11">
        <f>IF(OR(H57="",H57=0),"",J57/H57)</f>
        <v/>
      </c>
      <c r="M57" s="9" t="n"/>
    </row>
    <row r="58">
      <c r="A58" s="9" t="n"/>
      <c r="B58" s="9" t="n"/>
      <c r="C58" s="9" t="n"/>
      <c r="D58" s="9" t="n"/>
      <c r="E58" s="9" t="n"/>
      <c r="F58" s="9" t="n"/>
      <c r="G58" s="9" t="n"/>
      <c r="H58" s="9" t="n"/>
      <c r="I58" s="9" t="n"/>
      <c r="J58" s="9" t="n"/>
      <c r="K58" s="11">
        <f>IF(OR(H58="",H58=0),"",I58/H58)</f>
        <v/>
      </c>
      <c r="L58" s="11">
        <f>IF(OR(H58="",H58=0),"",J58/H58)</f>
        <v/>
      </c>
      <c r="M58" s="9" t="n"/>
    </row>
    <row r="59">
      <c r="A59" s="9" t="n"/>
      <c r="B59" s="9" t="n"/>
      <c r="C59" s="9" t="n"/>
      <c r="D59" s="9" t="n"/>
      <c r="E59" s="9" t="n"/>
      <c r="F59" s="9" t="n"/>
      <c r="G59" s="9" t="n"/>
      <c r="H59" s="9" t="n"/>
      <c r="I59" s="9" t="n"/>
      <c r="J59" s="9" t="n"/>
      <c r="K59" s="11">
        <f>IF(OR(H59="",H59=0),"",I59/H59)</f>
        <v/>
      </c>
      <c r="L59" s="11">
        <f>IF(OR(H59="",H59=0),"",J59/H59)</f>
        <v/>
      </c>
      <c r="M59" s="9" t="n"/>
    </row>
    <row r="60">
      <c r="A60" s="9" t="n"/>
      <c r="B60" s="9" t="n"/>
      <c r="C60" s="9" t="n"/>
      <c r="D60" s="9" t="n"/>
      <c r="E60" s="9" t="n"/>
      <c r="F60" s="9" t="n"/>
      <c r="G60" s="9" t="n"/>
      <c r="H60" s="9" t="n"/>
      <c r="I60" s="9" t="n"/>
      <c r="J60" s="9" t="n"/>
      <c r="K60" s="11">
        <f>IF(OR(H60="",H60=0),"",I60/H60)</f>
        <v/>
      </c>
      <c r="L60" s="11">
        <f>IF(OR(H60="",H60=0),"",J60/H60)</f>
        <v/>
      </c>
      <c r="M60" s="9" t="n"/>
    </row>
    <row r="61">
      <c r="A61" s="9" t="n"/>
      <c r="B61" s="9" t="n"/>
      <c r="C61" s="9" t="n"/>
      <c r="D61" s="9" t="n"/>
      <c r="E61" s="9" t="n"/>
      <c r="F61" s="9" t="n"/>
      <c r="G61" s="9" t="n"/>
      <c r="H61" s="9" t="n"/>
      <c r="I61" s="9" t="n"/>
      <c r="J61" s="9" t="n"/>
      <c r="K61" s="11">
        <f>IF(OR(H61="",H61=0),"",I61/H61)</f>
        <v/>
      </c>
      <c r="L61" s="11">
        <f>IF(OR(H61="",H61=0),"",J61/H61)</f>
        <v/>
      </c>
      <c r="M61" s="9" t="n"/>
    </row>
    <row r="62">
      <c r="A62" s="9" t="n"/>
      <c r="B62" s="9" t="n"/>
      <c r="C62" s="9" t="n"/>
      <c r="D62" s="9" t="n"/>
      <c r="E62" s="9" t="n"/>
      <c r="F62" s="9" t="n"/>
      <c r="G62" s="9" t="n"/>
      <c r="H62" s="9" t="n"/>
      <c r="I62" s="9" t="n"/>
      <c r="J62" s="9" t="n"/>
      <c r="K62" s="11">
        <f>IF(OR(H62="",H62=0),"",I62/H62)</f>
        <v/>
      </c>
      <c r="L62" s="11">
        <f>IF(OR(H62="",H62=0),"",J62/H62)</f>
        <v/>
      </c>
      <c r="M62" s="9" t="n"/>
    </row>
    <row r="63">
      <c r="A63" s="9" t="n"/>
      <c r="B63" s="9" t="n"/>
      <c r="C63" s="9" t="n"/>
      <c r="D63" s="9" t="n"/>
      <c r="E63" s="9" t="n"/>
      <c r="F63" s="9" t="n"/>
      <c r="G63" s="9" t="n"/>
      <c r="H63" s="9" t="n"/>
      <c r="I63" s="9" t="n"/>
      <c r="J63" s="9" t="n"/>
      <c r="K63" s="11">
        <f>IF(OR(H63="",H63=0),"",I63/H63)</f>
        <v/>
      </c>
      <c r="L63" s="11">
        <f>IF(OR(H63="",H63=0),"",J63/H63)</f>
        <v/>
      </c>
      <c r="M63" s="9" t="n"/>
    </row>
    <row r="64">
      <c r="A64" s="9" t="n"/>
      <c r="B64" s="9" t="n"/>
      <c r="C64" s="9" t="n"/>
      <c r="D64" s="9" t="n"/>
      <c r="E64" s="9" t="n"/>
      <c r="F64" s="9" t="n"/>
      <c r="G64" s="9" t="n"/>
      <c r="H64" s="9" t="n"/>
      <c r="I64" s="9" t="n"/>
      <c r="J64" s="9" t="n"/>
      <c r="K64" s="11">
        <f>IF(OR(H64="",H64=0),"",I64/H64)</f>
        <v/>
      </c>
      <c r="L64" s="11">
        <f>IF(OR(H64="",H64=0),"",J64/H64)</f>
        <v/>
      </c>
      <c r="M64" s="9" t="n"/>
    </row>
    <row r="65">
      <c r="A65" s="9" t="n"/>
      <c r="B65" s="9" t="n"/>
      <c r="C65" s="9" t="n"/>
      <c r="D65" s="9" t="n"/>
      <c r="E65" s="9" t="n"/>
      <c r="F65" s="9" t="n"/>
      <c r="G65" s="9" t="n"/>
      <c r="H65" s="9" t="n"/>
      <c r="I65" s="9" t="n"/>
      <c r="J65" s="9" t="n"/>
      <c r="K65" s="11">
        <f>IF(OR(H65="",H65=0),"",I65/H65)</f>
        <v/>
      </c>
      <c r="L65" s="11">
        <f>IF(OR(H65="",H65=0),"",J65/H65)</f>
        <v/>
      </c>
      <c r="M65" s="9" t="n"/>
    </row>
    <row r="66">
      <c r="A66" s="9" t="n"/>
      <c r="B66" s="9" t="n"/>
      <c r="C66" s="9" t="n"/>
      <c r="D66" s="9" t="n"/>
      <c r="E66" s="9" t="n"/>
      <c r="F66" s="9" t="n"/>
      <c r="G66" s="9" t="n"/>
      <c r="H66" s="9" t="n"/>
      <c r="I66" s="9" t="n"/>
      <c r="J66" s="9" t="n"/>
      <c r="K66" s="11">
        <f>IF(OR(H66="",H66=0),"",I66/H66)</f>
        <v/>
      </c>
      <c r="L66" s="11">
        <f>IF(OR(H66="",H66=0),"",J66/H66)</f>
        <v/>
      </c>
      <c r="M66" s="9" t="n"/>
    </row>
    <row r="67">
      <c r="A67" s="9" t="n"/>
      <c r="B67" s="9" t="n"/>
      <c r="C67" s="9" t="n"/>
      <c r="D67" s="9" t="n"/>
      <c r="E67" s="9" t="n"/>
      <c r="F67" s="9" t="n"/>
      <c r="G67" s="9" t="n"/>
      <c r="H67" s="9" t="n"/>
      <c r="I67" s="9" t="n"/>
      <c r="J67" s="9" t="n"/>
      <c r="K67" s="11">
        <f>IF(OR(H67="",H67=0),"",I67/H67)</f>
        <v/>
      </c>
      <c r="L67" s="11">
        <f>IF(OR(H67="",H67=0),"",J67/H67)</f>
        <v/>
      </c>
      <c r="M67" s="9" t="n"/>
    </row>
    <row r="68">
      <c r="A68" s="9" t="n"/>
      <c r="B68" s="9" t="n"/>
      <c r="C68" s="9" t="n"/>
      <c r="D68" s="9" t="n"/>
      <c r="E68" s="9" t="n"/>
      <c r="F68" s="9" t="n"/>
      <c r="G68" s="9" t="n"/>
      <c r="H68" s="9" t="n"/>
      <c r="I68" s="9" t="n"/>
      <c r="J68" s="9" t="n"/>
      <c r="K68" s="11">
        <f>IF(OR(H68="",H68=0),"",I68/H68)</f>
        <v/>
      </c>
      <c r="L68" s="11">
        <f>IF(OR(H68="",H68=0),"",J68/H68)</f>
        <v/>
      </c>
      <c r="M68" s="9" t="n"/>
    </row>
    <row r="69">
      <c r="A69" s="9" t="n"/>
      <c r="B69" s="9" t="n"/>
      <c r="C69" s="9" t="n"/>
      <c r="D69" s="9" t="n"/>
      <c r="E69" s="9" t="n"/>
      <c r="F69" s="9" t="n"/>
      <c r="G69" s="9" t="n"/>
      <c r="H69" s="9" t="n"/>
      <c r="I69" s="9" t="n"/>
      <c r="J69" s="9" t="n"/>
      <c r="K69" s="11">
        <f>IF(OR(H69="",H69=0),"",I69/H69)</f>
        <v/>
      </c>
      <c r="L69" s="11">
        <f>IF(OR(H69="",H69=0),"",J69/H69)</f>
        <v/>
      </c>
      <c r="M69" s="9" t="n"/>
    </row>
    <row r="70">
      <c r="A70" s="9" t="n"/>
      <c r="B70" s="9" t="n"/>
      <c r="C70" s="9" t="n"/>
      <c r="D70" s="9" t="n"/>
      <c r="E70" s="9" t="n"/>
      <c r="F70" s="9" t="n"/>
      <c r="G70" s="9" t="n"/>
      <c r="H70" s="9" t="n"/>
      <c r="I70" s="9" t="n"/>
      <c r="J70" s="9" t="n"/>
      <c r="K70" s="11">
        <f>IF(OR(H70="",H70=0),"",I70/H70)</f>
        <v/>
      </c>
      <c r="L70" s="11">
        <f>IF(OR(H70="",H70=0),"",J70/H70)</f>
        <v/>
      </c>
      <c r="M70" s="9" t="n"/>
    </row>
    <row r="71">
      <c r="A71" s="9" t="n"/>
      <c r="B71" s="9" t="n"/>
      <c r="C71" s="9" t="n"/>
      <c r="D71" s="9" t="n"/>
      <c r="E71" s="9" t="n"/>
      <c r="F71" s="9" t="n"/>
      <c r="G71" s="9" t="n"/>
      <c r="H71" s="9" t="n"/>
      <c r="I71" s="9" t="n"/>
      <c r="J71" s="9" t="n"/>
      <c r="K71" s="11">
        <f>IF(OR(H71="",H71=0),"",I71/H71)</f>
        <v/>
      </c>
      <c r="L71" s="11">
        <f>IF(OR(H71="",H71=0),"",J71/H71)</f>
        <v/>
      </c>
      <c r="M71" s="9" t="n"/>
    </row>
    <row r="72">
      <c r="A72" s="9" t="n"/>
      <c r="B72" s="9" t="n"/>
      <c r="C72" s="9" t="n"/>
      <c r="D72" s="9" t="n"/>
      <c r="E72" s="9" t="n"/>
      <c r="F72" s="9" t="n"/>
      <c r="G72" s="9" t="n"/>
      <c r="H72" s="9" t="n"/>
      <c r="I72" s="9" t="n"/>
      <c r="J72" s="9" t="n"/>
      <c r="K72" s="11">
        <f>IF(OR(H72="",H72=0),"",I72/H72)</f>
        <v/>
      </c>
      <c r="L72" s="11">
        <f>IF(OR(H72="",H72=0),"",J72/H72)</f>
        <v/>
      </c>
      <c r="M72" s="9" t="n"/>
    </row>
    <row r="73">
      <c r="A73" s="9" t="n"/>
      <c r="B73" s="9" t="n"/>
      <c r="C73" s="9" t="n"/>
      <c r="D73" s="9" t="n"/>
      <c r="E73" s="9" t="n"/>
      <c r="F73" s="9" t="n"/>
      <c r="G73" s="9" t="n"/>
      <c r="H73" s="9" t="n"/>
      <c r="I73" s="9" t="n"/>
      <c r="J73" s="9" t="n"/>
      <c r="K73" s="11">
        <f>IF(OR(H73="",H73=0),"",I73/H73)</f>
        <v/>
      </c>
      <c r="L73" s="11">
        <f>IF(OR(H73="",H73=0),"",J73/H73)</f>
        <v/>
      </c>
      <c r="M73" s="9" t="n"/>
    </row>
    <row r="74">
      <c r="A74" s="9" t="n"/>
      <c r="B74" s="9" t="n"/>
      <c r="C74" s="9" t="n"/>
      <c r="D74" s="9" t="n"/>
      <c r="E74" s="9" t="n"/>
      <c r="F74" s="9" t="n"/>
      <c r="G74" s="9" t="n"/>
      <c r="H74" s="9" t="n"/>
      <c r="I74" s="9" t="n"/>
      <c r="J74" s="9" t="n"/>
      <c r="K74" s="11">
        <f>IF(OR(H74="",H74=0),"",I74/H74)</f>
        <v/>
      </c>
      <c r="L74" s="11">
        <f>IF(OR(H74="",H74=0),"",J74/H74)</f>
        <v/>
      </c>
      <c r="M74" s="9" t="n"/>
    </row>
    <row r="75">
      <c r="A75" s="9" t="n"/>
      <c r="B75" s="9" t="n"/>
      <c r="C75" s="9" t="n"/>
      <c r="D75" s="9" t="n"/>
      <c r="E75" s="9" t="n"/>
      <c r="F75" s="9" t="n"/>
      <c r="G75" s="9" t="n"/>
      <c r="H75" s="9" t="n"/>
      <c r="I75" s="9" t="n"/>
      <c r="J75" s="9" t="n"/>
      <c r="K75" s="11">
        <f>IF(OR(H75="",H75=0),"",I75/H75)</f>
        <v/>
      </c>
      <c r="L75" s="11">
        <f>IF(OR(H75="",H75=0),"",J75/H75)</f>
        <v/>
      </c>
      <c r="M75" s="9" t="n"/>
    </row>
    <row r="76">
      <c r="A76" s="9" t="n"/>
      <c r="B76" s="9" t="n"/>
      <c r="C76" s="9" t="n"/>
      <c r="D76" s="9" t="n"/>
      <c r="E76" s="9" t="n"/>
      <c r="F76" s="9" t="n"/>
      <c r="G76" s="9" t="n"/>
      <c r="H76" s="9" t="n"/>
      <c r="I76" s="9" t="n"/>
      <c r="J76" s="9" t="n"/>
      <c r="K76" s="11">
        <f>IF(OR(H76="",H76=0),"",I76/H76)</f>
        <v/>
      </c>
      <c r="L76" s="11">
        <f>IF(OR(H76="",H76=0),"",J76/H76)</f>
        <v/>
      </c>
      <c r="M76" s="9" t="n"/>
    </row>
    <row r="77">
      <c r="A77" s="9" t="n"/>
      <c r="B77" s="9" t="n"/>
      <c r="C77" s="9" t="n"/>
      <c r="D77" s="9" t="n"/>
      <c r="E77" s="9" t="n"/>
      <c r="F77" s="9" t="n"/>
      <c r="G77" s="9" t="n"/>
      <c r="H77" s="9" t="n"/>
      <c r="I77" s="9" t="n"/>
      <c r="J77" s="9" t="n"/>
      <c r="K77" s="11">
        <f>IF(OR(H77="",H77=0),"",I77/H77)</f>
        <v/>
      </c>
      <c r="L77" s="11">
        <f>IF(OR(H77="",H77=0),"",J77/H77)</f>
        <v/>
      </c>
      <c r="M77" s="9" t="n"/>
    </row>
    <row r="78">
      <c r="A78" s="9" t="n"/>
      <c r="B78" s="9" t="n"/>
      <c r="C78" s="9" t="n"/>
      <c r="D78" s="9" t="n"/>
      <c r="E78" s="9" t="n"/>
      <c r="F78" s="9" t="n"/>
      <c r="G78" s="9" t="n"/>
      <c r="H78" s="9" t="n"/>
      <c r="I78" s="9" t="n"/>
      <c r="J78" s="9" t="n"/>
      <c r="K78" s="11">
        <f>IF(OR(H78="",H78=0),"",I78/H78)</f>
        <v/>
      </c>
      <c r="L78" s="11">
        <f>IF(OR(H78="",H78=0),"",J78/H78)</f>
        <v/>
      </c>
      <c r="M78" s="9" t="n"/>
    </row>
    <row r="79">
      <c r="A79" s="9" t="n"/>
      <c r="B79" s="9" t="n"/>
      <c r="C79" s="9" t="n"/>
      <c r="D79" s="9" t="n"/>
      <c r="E79" s="9" t="n"/>
      <c r="F79" s="9" t="n"/>
      <c r="G79" s="9" t="n"/>
      <c r="H79" s="9" t="n"/>
      <c r="I79" s="9" t="n"/>
      <c r="J79" s="9" t="n"/>
      <c r="K79" s="11">
        <f>IF(OR(H79="",H79=0),"",I79/H79)</f>
        <v/>
      </c>
      <c r="L79" s="11">
        <f>IF(OR(H79="",H79=0),"",J79/H79)</f>
        <v/>
      </c>
      <c r="M79" s="9" t="n"/>
    </row>
    <row r="80">
      <c r="A80" s="9" t="n"/>
      <c r="B80" s="9" t="n"/>
      <c r="C80" s="9" t="n"/>
      <c r="D80" s="9" t="n"/>
      <c r="E80" s="9" t="n"/>
      <c r="F80" s="9" t="n"/>
      <c r="G80" s="9" t="n"/>
      <c r="H80" s="9" t="n"/>
      <c r="I80" s="9" t="n"/>
      <c r="J80" s="9" t="n"/>
      <c r="K80" s="11">
        <f>IF(OR(H80="",H80=0),"",I80/H80)</f>
        <v/>
      </c>
      <c r="L80" s="11">
        <f>IF(OR(H80="",H80=0),"",J80/H80)</f>
        <v/>
      </c>
      <c r="M80" s="9" t="n"/>
    </row>
    <row r="81">
      <c r="A81" s="9" t="n"/>
      <c r="B81" s="9" t="n"/>
      <c r="C81" s="9" t="n"/>
      <c r="D81" s="9" t="n"/>
      <c r="E81" s="9" t="n"/>
      <c r="F81" s="9" t="n"/>
      <c r="G81" s="9" t="n"/>
      <c r="H81" s="9" t="n"/>
      <c r="I81" s="9" t="n"/>
      <c r="J81" s="9" t="n"/>
      <c r="K81" s="11">
        <f>IF(OR(H81="",H81=0),"",I81/H81)</f>
        <v/>
      </c>
      <c r="L81" s="11">
        <f>IF(OR(H81="",H81=0),"",J81/H81)</f>
        <v/>
      </c>
      <c r="M81" s="9" t="n"/>
    </row>
    <row r="82">
      <c r="A82" s="9" t="n"/>
      <c r="B82" s="9" t="n"/>
      <c r="C82" s="9" t="n"/>
      <c r="D82" s="9" t="n"/>
      <c r="E82" s="9" t="n"/>
      <c r="F82" s="9" t="n"/>
      <c r="G82" s="9" t="n"/>
      <c r="H82" s="9" t="n"/>
      <c r="I82" s="9" t="n"/>
      <c r="J82" s="9" t="n"/>
      <c r="K82" s="11">
        <f>IF(OR(H82="",H82=0),"",I82/H82)</f>
        <v/>
      </c>
      <c r="L82" s="11">
        <f>IF(OR(H82="",H82=0),"",J82/H82)</f>
        <v/>
      </c>
      <c r="M82" s="9" t="n"/>
    </row>
    <row r="83">
      <c r="A83" s="9" t="n"/>
      <c r="B83" s="9" t="n"/>
      <c r="C83" s="9" t="n"/>
      <c r="D83" s="9" t="n"/>
      <c r="E83" s="9" t="n"/>
      <c r="F83" s="9" t="n"/>
      <c r="G83" s="9" t="n"/>
      <c r="H83" s="9" t="n"/>
      <c r="I83" s="9" t="n"/>
      <c r="J83" s="9" t="n"/>
      <c r="K83" s="11">
        <f>IF(OR(H83="",H83=0),"",I83/H83)</f>
        <v/>
      </c>
      <c r="L83" s="11">
        <f>IF(OR(H83="",H83=0),"",J83/H83)</f>
        <v/>
      </c>
      <c r="M83" s="9" t="n"/>
    </row>
    <row r="84">
      <c r="A84" s="9" t="n"/>
      <c r="B84" s="9" t="n"/>
      <c r="C84" s="9" t="n"/>
      <c r="D84" s="9" t="n"/>
      <c r="E84" s="9" t="n"/>
      <c r="F84" s="9" t="n"/>
      <c r="G84" s="9" t="n"/>
      <c r="H84" s="9" t="n"/>
      <c r="I84" s="9" t="n"/>
      <c r="J84" s="9" t="n"/>
      <c r="K84" s="11">
        <f>IF(OR(H84="",H84=0),"",I84/H84)</f>
        <v/>
      </c>
      <c r="L84" s="11">
        <f>IF(OR(H84="",H84=0),"",J84/H84)</f>
        <v/>
      </c>
      <c r="M84" s="9" t="n"/>
    </row>
    <row r="85">
      <c r="A85" s="9" t="n"/>
      <c r="B85" s="9" t="n"/>
      <c r="C85" s="9" t="n"/>
      <c r="D85" s="9" t="n"/>
      <c r="E85" s="9" t="n"/>
      <c r="F85" s="9" t="n"/>
      <c r="G85" s="9" t="n"/>
      <c r="H85" s="9" t="n"/>
      <c r="I85" s="9" t="n"/>
      <c r="J85" s="9" t="n"/>
      <c r="K85" s="11">
        <f>IF(OR(H85="",H85=0),"",I85/H85)</f>
        <v/>
      </c>
      <c r="L85" s="11">
        <f>IF(OR(H85="",H85=0),"",J85/H85)</f>
        <v/>
      </c>
      <c r="M85" s="9" t="n"/>
    </row>
    <row r="86">
      <c r="A86" s="9" t="n"/>
      <c r="B86" s="9" t="n"/>
      <c r="C86" s="9" t="n"/>
      <c r="D86" s="9" t="n"/>
      <c r="E86" s="9" t="n"/>
      <c r="F86" s="9" t="n"/>
      <c r="G86" s="9" t="n"/>
      <c r="H86" s="9" t="n"/>
      <c r="I86" s="9" t="n"/>
      <c r="J86" s="9" t="n"/>
      <c r="K86" s="11">
        <f>IF(OR(H86="",H86=0),"",I86/H86)</f>
        <v/>
      </c>
      <c r="L86" s="11">
        <f>IF(OR(H86="",H86=0),"",J86/H86)</f>
        <v/>
      </c>
      <c r="M86" s="9" t="n"/>
    </row>
    <row r="87">
      <c r="A87" s="9" t="n"/>
      <c r="B87" s="9" t="n"/>
      <c r="C87" s="9" t="n"/>
      <c r="D87" s="9" t="n"/>
      <c r="E87" s="9" t="n"/>
      <c r="F87" s="9" t="n"/>
      <c r="G87" s="9" t="n"/>
      <c r="H87" s="9" t="n"/>
      <c r="I87" s="9" t="n"/>
      <c r="J87" s="9" t="n"/>
      <c r="K87" s="11">
        <f>IF(OR(H87="",H87=0),"",I87/H87)</f>
        <v/>
      </c>
      <c r="L87" s="11">
        <f>IF(OR(H87="",H87=0),"",J87/H87)</f>
        <v/>
      </c>
      <c r="M87" s="9" t="n"/>
    </row>
    <row r="88">
      <c r="A88" s="9" t="n"/>
      <c r="B88" s="9" t="n"/>
      <c r="C88" s="9" t="n"/>
      <c r="D88" s="9" t="n"/>
      <c r="E88" s="9" t="n"/>
      <c r="F88" s="9" t="n"/>
      <c r="G88" s="9" t="n"/>
      <c r="H88" s="9" t="n"/>
      <c r="I88" s="9" t="n"/>
      <c r="J88" s="9" t="n"/>
      <c r="K88" s="11">
        <f>IF(OR(H88="",H88=0),"",I88/H88)</f>
        <v/>
      </c>
      <c r="L88" s="11">
        <f>IF(OR(H88="",H88=0),"",J88/H88)</f>
        <v/>
      </c>
      <c r="M88" s="9" t="n"/>
    </row>
    <row r="89">
      <c r="A89" s="9" t="n"/>
      <c r="B89" s="9" t="n"/>
      <c r="C89" s="9" t="n"/>
      <c r="D89" s="9" t="n"/>
      <c r="E89" s="9" t="n"/>
      <c r="F89" s="9" t="n"/>
      <c r="G89" s="9" t="n"/>
      <c r="H89" s="9" t="n"/>
      <c r="I89" s="9" t="n"/>
      <c r="J89" s="9" t="n"/>
      <c r="K89" s="11">
        <f>IF(OR(H89="",H89=0),"",I89/H89)</f>
        <v/>
      </c>
      <c r="L89" s="11">
        <f>IF(OR(H89="",H89=0),"",J89/H89)</f>
        <v/>
      </c>
      <c r="M89" s="9" t="n"/>
    </row>
    <row r="90">
      <c r="A90" s="9" t="n"/>
      <c r="B90" s="9" t="n"/>
      <c r="C90" s="9" t="n"/>
      <c r="D90" s="9" t="n"/>
      <c r="E90" s="9" t="n"/>
      <c r="F90" s="9" t="n"/>
      <c r="G90" s="9" t="n"/>
      <c r="H90" s="9" t="n"/>
      <c r="I90" s="9" t="n"/>
      <c r="J90" s="9" t="n"/>
      <c r="K90" s="11">
        <f>IF(OR(H90="",H90=0),"",I90/H90)</f>
        <v/>
      </c>
      <c r="L90" s="11">
        <f>IF(OR(H90="",H90=0),"",J90/H90)</f>
        <v/>
      </c>
      <c r="M90" s="9" t="n"/>
    </row>
    <row r="91">
      <c r="A91" s="9" t="n"/>
      <c r="B91" s="9" t="n"/>
      <c r="C91" s="9" t="n"/>
      <c r="D91" s="9" t="n"/>
      <c r="E91" s="9" t="n"/>
      <c r="F91" s="9" t="n"/>
      <c r="G91" s="9" t="n"/>
      <c r="H91" s="9" t="n"/>
      <c r="I91" s="9" t="n"/>
      <c r="J91" s="9" t="n"/>
      <c r="K91" s="11">
        <f>IF(OR(H91="",H91=0),"",I91/H91)</f>
        <v/>
      </c>
      <c r="L91" s="11">
        <f>IF(OR(H91="",H91=0),"",J91/H91)</f>
        <v/>
      </c>
      <c r="M91" s="9" t="n"/>
    </row>
    <row r="92">
      <c r="A92" s="9" t="n"/>
      <c r="B92" s="9" t="n"/>
      <c r="C92" s="9" t="n"/>
      <c r="D92" s="9" t="n"/>
      <c r="E92" s="9" t="n"/>
      <c r="F92" s="9" t="n"/>
      <c r="G92" s="9" t="n"/>
      <c r="H92" s="9" t="n"/>
      <c r="I92" s="9" t="n"/>
      <c r="J92" s="9" t="n"/>
      <c r="K92" s="11">
        <f>IF(OR(H92="",H92=0),"",I92/H92)</f>
        <v/>
      </c>
      <c r="L92" s="11">
        <f>IF(OR(H92="",H92=0),"",J92/H92)</f>
        <v/>
      </c>
      <c r="M92" s="9" t="n"/>
    </row>
    <row r="93">
      <c r="A93" s="9" t="n"/>
      <c r="B93" s="9" t="n"/>
      <c r="C93" s="9" t="n"/>
      <c r="D93" s="9" t="n"/>
      <c r="E93" s="9" t="n"/>
      <c r="F93" s="9" t="n"/>
      <c r="G93" s="9" t="n"/>
      <c r="H93" s="9" t="n"/>
      <c r="I93" s="9" t="n"/>
      <c r="J93" s="9" t="n"/>
      <c r="K93" s="11">
        <f>IF(OR(H93="",H93=0),"",I93/H93)</f>
        <v/>
      </c>
      <c r="L93" s="11">
        <f>IF(OR(H93="",H93=0),"",J93/H93)</f>
        <v/>
      </c>
      <c r="M93" s="9" t="n"/>
    </row>
    <row r="94">
      <c r="A94" s="9" t="n"/>
      <c r="B94" s="9" t="n"/>
      <c r="C94" s="9" t="n"/>
      <c r="D94" s="9" t="n"/>
      <c r="E94" s="9" t="n"/>
      <c r="F94" s="9" t="n"/>
      <c r="G94" s="9" t="n"/>
      <c r="H94" s="9" t="n"/>
      <c r="I94" s="9" t="n"/>
      <c r="J94" s="9" t="n"/>
      <c r="K94" s="11">
        <f>IF(OR(H94="",H94=0),"",I94/H94)</f>
        <v/>
      </c>
      <c r="L94" s="11">
        <f>IF(OR(H94="",H94=0),"",J94/H94)</f>
        <v/>
      </c>
      <c r="M94" s="9" t="n"/>
    </row>
    <row r="95">
      <c r="A95" s="9" t="n"/>
      <c r="B95" s="9" t="n"/>
      <c r="C95" s="9" t="n"/>
      <c r="D95" s="9" t="n"/>
      <c r="E95" s="9" t="n"/>
      <c r="F95" s="9" t="n"/>
      <c r="G95" s="9" t="n"/>
      <c r="H95" s="9" t="n"/>
      <c r="I95" s="9" t="n"/>
      <c r="J95" s="9" t="n"/>
      <c r="K95" s="11">
        <f>IF(OR(H95="",H95=0),"",I95/H95)</f>
        <v/>
      </c>
      <c r="L95" s="11">
        <f>IF(OR(H95="",H95=0),"",J95/H95)</f>
        <v/>
      </c>
      <c r="M95" s="9" t="n"/>
    </row>
    <row r="96">
      <c r="A96" s="9" t="n"/>
      <c r="B96" s="9" t="n"/>
      <c r="C96" s="9" t="n"/>
      <c r="D96" s="9" t="n"/>
      <c r="E96" s="9" t="n"/>
      <c r="F96" s="9" t="n"/>
      <c r="G96" s="9" t="n"/>
      <c r="H96" s="9" t="n"/>
      <c r="I96" s="9" t="n"/>
      <c r="J96" s="9" t="n"/>
      <c r="K96" s="11">
        <f>IF(OR(H96="",H96=0),"",I96/H96)</f>
        <v/>
      </c>
      <c r="L96" s="11">
        <f>IF(OR(H96="",H96=0),"",J96/H96)</f>
        <v/>
      </c>
      <c r="M96" s="9" t="n"/>
    </row>
    <row r="97">
      <c r="A97" s="9" t="n"/>
      <c r="B97" s="9" t="n"/>
      <c r="C97" s="9" t="n"/>
      <c r="D97" s="9" t="n"/>
      <c r="E97" s="9" t="n"/>
      <c r="F97" s="9" t="n"/>
      <c r="G97" s="9" t="n"/>
      <c r="H97" s="9" t="n"/>
      <c r="I97" s="9" t="n"/>
      <c r="J97" s="9" t="n"/>
      <c r="K97" s="11">
        <f>IF(OR(H97="",H97=0),"",I97/H97)</f>
        <v/>
      </c>
      <c r="L97" s="11">
        <f>IF(OR(H97="",H97=0),"",J97/H97)</f>
        <v/>
      </c>
      <c r="M97" s="9" t="n"/>
    </row>
    <row r="98">
      <c r="A98" s="9" t="n"/>
      <c r="B98" s="9" t="n"/>
      <c r="C98" s="9" t="n"/>
      <c r="D98" s="9" t="n"/>
      <c r="E98" s="9" t="n"/>
      <c r="F98" s="9" t="n"/>
      <c r="G98" s="9" t="n"/>
      <c r="H98" s="9" t="n"/>
      <c r="I98" s="9" t="n"/>
      <c r="J98" s="9" t="n"/>
      <c r="K98" s="11">
        <f>IF(OR(H98="",H98=0),"",I98/H98)</f>
        <v/>
      </c>
      <c r="L98" s="11">
        <f>IF(OR(H98="",H98=0),"",J98/H98)</f>
        <v/>
      </c>
      <c r="M98" s="9" t="n"/>
    </row>
    <row r="99">
      <c r="A99" s="9" t="n"/>
      <c r="B99" s="9" t="n"/>
      <c r="C99" s="9" t="n"/>
      <c r="D99" s="9" t="n"/>
      <c r="E99" s="9" t="n"/>
      <c r="F99" s="9" t="n"/>
      <c r="G99" s="9" t="n"/>
      <c r="H99" s="9" t="n"/>
      <c r="I99" s="9" t="n"/>
      <c r="J99" s="9" t="n"/>
      <c r="K99" s="11">
        <f>IF(OR(H99="",H99=0),"",I99/H99)</f>
        <v/>
      </c>
      <c r="L99" s="11">
        <f>IF(OR(H99="",H99=0),"",J99/H99)</f>
        <v/>
      </c>
      <c r="M99" s="9" t="n"/>
    </row>
    <row r="100">
      <c r="A100" s="9" t="n"/>
      <c r="B100" s="9" t="n"/>
      <c r="C100" s="9" t="n"/>
      <c r="D100" s="9" t="n"/>
      <c r="E100" s="9" t="n"/>
      <c r="F100" s="9" t="n"/>
      <c r="G100" s="9" t="n"/>
      <c r="H100" s="9" t="n"/>
      <c r="I100" s="9" t="n"/>
      <c r="J100" s="9" t="n"/>
      <c r="K100" s="11">
        <f>IF(OR(H100="",H100=0),"",I100/H100)</f>
        <v/>
      </c>
      <c r="L100" s="11">
        <f>IF(OR(H100="",H100=0),"",J100/H100)</f>
        <v/>
      </c>
      <c r="M100" s="9" t="n"/>
    </row>
    <row r="101">
      <c r="A101" s="9" t="n"/>
      <c r="B101" s="9" t="n"/>
      <c r="C101" s="9" t="n"/>
      <c r="D101" s="9" t="n"/>
      <c r="E101" s="9" t="n"/>
      <c r="F101" s="9" t="n"/>
      <c r="G101" s="9" t="n"/>
      <c r="H101" s="9" t="n"/>
      <c r="I101" s="9" t="n"/>
      <c r="J101" s="9" t="n"/>
      <c r="K101" s="11">
        <f>IF(OR(H101="",H101=0),"",I101/H101)</f>
        <v/>
      </c>
      <c r="L101" s="11">
        <f>IF(OR(H101="",H101=0),"",J101/H101)</f>
        <v/>
      </c>
      <c r="M101" s="9" t="n"/>
    </row>
    <row r="102">
      <c r="A102" s="9" t="n"/>
      <c r="B102" s="9" t="n"/>
      <c r="C102" s="9" t="n"/>
      <c r="D102" s="9" t="n"/>
      <c r="E102" s="9" t="n"/>
      <c r="F102" s="9" t="n"/>
      <c r="G102" s="9" t="n"/>
      <c r="H102" s="9" t="n"/>
      <c r="I102" s="9" t="n"/>
      <c r="J102" s="9" t="n"/>
      <c r="K102" s="11">
        <f>IF(OR(H102="",H102=0),"",I102/H102)</f>
        <v/>
      </c>
      <c r="L102" s="11">
        <f>IF(OR(H102="",H102=0),"",J102/H102)</f>
        <v/>
      </c>
      <c r="M102" s="9" t="n"/>
    </row>
    <row r="103">
      <c r="A103" s="9" t="n"/>
      <c r="B103" s="9" t="n"/>
      <c r="C103" s="9" t="n"/>
      <c r="D103" s="9" t="n"/>
      <c r="E103" s="9" t="n"/>
      <c r="F103" s="9" t="n"/>
      <c r="G103" s="9" t="n"/>
      <c r="H103" s="9" t="n"/>
      <c r="I103" s="9" t="n"/>
      <c r="J103" s="9" t="n"/>
      <c r="K103" s="11">
        <f>IF(OR(H103="",H103=0),"",I103/H103)</f>
        <v/>
      </c>
      <c r="L103" s="11">
        <f>IF(OR(H103="",H103=0),"",J103/H103)</f>
        <v/>
      </c>
      <c r="M103" s="9" t="n"/>
    </row>
  </sheetData>
  <autoFilter ref="A3:M103"/>
  <dataValidations count="2">
    <dataValidation sqref="C4:C104" showDropDown="0" showInputMessage="0" showErrorMessage="0" allowBlank="1" type="list">
      <formula1>Lists!$A$1:$A$9</formula1>
    </dataValidation>
    <dataValidation sqref="D4:D104" showDropDown="0" showInputMessage="0" showErrorMessage="0" allowBlank="1" type="list">
      <formula1>Lists!$G$1:$G$10</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503"/>
  <sheetViews>
    <sheetView showGridLines="0" workbookViewId="0">
      <pane ySplit="3" topLeftCell="A4" activePane="bottomLeft" state="frozen"/>
      <selection pane="bottomLeft" activeCell="A1" sqref="A1"/>
    </sheetView>
  </sheetViews>
  <sheetFormatPr baseColWidth="8" defaultRowHeight="15"/>
  <cols>
    <col width="12" customWidth="1" min="1" max="1"/>
    <col width="11" customWidth="1" min="2" max="2"/>
    <col width="24" customWidth="1" min="3" max="3"/>
    <col width="16" customWidth="1" min="4" max="4"/>
    <col width="12" customWidth="1" min="5" max="5"/>
    <col width="8" customWidth="1" min="6" max="6"/>
    <col width="40" customWidth="1" min="7" max="7"/>
    <col width="24" customWidth="1" min="8" max="8"/>
    <col width="14" customWidth="1" min="9" max="9"/>
    <col width="11" customWidth="1" min="10" max="10"/>
    <col width="30" customWidth="1" min="11" max="11"/>
  </cols>
  <sheetData>
    <row r="1">
      <c r="A1" s="1" t="inlineStr">
        <is>
          <t>Follow-up Tracker</t>
        </is>
      </c>
    </row>
    <row r="2">
      <c r="A2" s="2" t="inlineStr">
        <is>
          <t>Every touch, logged. This is what stops an account going quiet, and stops you sending a sixth email.</t>
        </is>
      </c>
    </row>
    <row r="3">
      <c r="A3" s="6" t="inlineStr">
        <is>
          <t>Date</t>
        </is>
      </c>
      <c r="B3" s="6" t="inlineStr">
        <is>
          <t>Account ID</t>
        </is>
      </c>
      <c r="C3" s="6" t="inlineStr">
        <is>
          <t>Company</t>
        </is>
      </c>
      <c r="D3" s="6" t="inlineStr">
        <is>
          <t>Contact</t>
        </is>
      </c>
      <c r="E3" s="6" t="inlineStr">
        <is>
          <t>Channel</t>
        </is>
      </c>
      <c r="F3" s="6" t="inlineStr">
        <is>
          <t>Step</t>
        </is>
      </c>
      <c r="G3" s="6" t="inlineStr">
        <is>
          <t>What you sent / said</t>
        </is>
      </c>
      <c r="H3" s="6" t="inlineStr">
        <is>
          <t>Outcome</t>
        </is>
      </c>
      <c r="I3" s="6" t="inlineStr">
        <is>
          <t>Next touch due</t>
        </is>
      </c>
      <c r="J3" s="6" t="inlineStr">
        <is>
          <t>Overdue?</t>
        </is>
      </c>
      <c r="K3" s="6" t="inlineStr">
        <is>
          <t>Notes</t>
        </is>
      </c>
    </row>
    <row r="4">
      <c r="A4" s="7">
        <f>TODAY()-14</f>
        <v/>
      </c>
      <c r="B4" s="7" t="inlineStr">
        <is>
          <t>ACC-001</t>
        </is>
      </c>
      <c r="C4" s="7" t="inlineStr">
        <is>
          <t>(example) Northgate Dental</t>
        </is>
      </c>
      <c r="D4" s="7" t="inlineStr">
        <is>
          <t>Dana Reyes</t>
        </is>
      </c>
      <c r="E4" s="7" t="inlineStr">
        <is>
          <t>Email</t>
        </is>
      </c>
      <c r="F4" s="7" t="n">
        <v>1</v>
      </c>
      <c r="G4" s="7" t="inlineStr">
        <is>
          <t>First email - referenced the move to MacArthur</t>
        </is>
      </c>
      <c r="H4" s="7" t="inlineStr">
        <is>
          <t>No reply</t>
        </is>
      </c>
      <c r="I4" s="7">
        <f>TODAY()-10</f>
        <v/>
      </c>
      <c r="J4" s="7">
        <f>IF(OR(I4="",H4="Opted out",H4="Replied - no"),"",IF(TODAY()&gt;I4,"OVERDUE",""))</f>
        <v/>
      </c>
      <c r="K4" s="7" t="inlineStr"/>
    </row>
    <row r="5">
      <c r="A5" s="7">
        <f>TODAY()-10</f>
        <v/>
      </c>
      <c r="B5" s="7" t="inlineStr">
        <is>
          <t>ACC-001</t>
        </is>
      </c>
      <c r="C5" s="7" t="inlineStr">
        <is>
          <t>(example) Northgate Dental</t>
        </is>
      </c>
      <c r="D5" s="7" t="inlineStr">
        <is>
          <t>Dana Reyes</t>
        </is>
      </c>
      <c r="E5" s="7" t="inlineStr">
        <is>
          <t>Email</t>
        </is>
      </c>
      <c r="F5" s="7" t="n">
        <v>2</v>
      </c>
      <c r="G5" s="7" t="inlineStr">
        <is>
          <t>Follow-up - documentation point</t>
        </is>
      </c>
      <c r="H5" s="7" t="inlineStr">
        <is>
          <t>No reply</t>
        </is>
      </c>
      <c r="I5" s="7">
        <f>TODAY()-3</f>
        <v/>
      </c>
      <c r="J5" s="7">
        <f>IF(OR(I5="",H5="Opted out",H5="Replied - no"),"",IF(TODAY()&gt;I5,"OVERDUE",""))</f>
        <v/>
      </c>
      <c r="K5" s="7" t="inlineStr"/>
    </row>
    <row r="6">
      <c r="A6" s="7">
        <f>TODAY()-3</f>
        <v/>
      </c>
      <c r="B6" s="7" t="inlineStr">
        <is>
          <t>ACC-003</t>
        </is>
      </c>
      <c r="C6" s="7" t="inlineStr">
        <is>
          <t>(example) Foster Property Group</t>
        </is>
      </c>
      <c r="D6" s="7" t="inlineStr">
        <is>
          <t>Marcus Hale</t>
        </is>
      </c>
      <c r="E6" s="7" t="inlineStr">
        <is>
          <t>Phone</t>
        </is>
      </c>
      <c r="F6" s="7" t="n">
        <v>3</v>
      </c>
      <c r="G6" s="7" t="inlineStr">
        <is>
          <t>Call - agreed to a walkthrough</t>
        </is>
      </c>
      <c r="H6" s="7" t="inlineStr">
        <is>
          <t>Replied - positive</t>
        </is>
      </c>
      <c r="I6" s="7">
        <f>TODAY()</f>
        <v/>
      </c>
      <c r="J6" s="7">
        <f>IF(OR(I6="",H6="Opted out",H6="Replied - no"),"",IF(TODAY()&gt;I6,"OVERDUE",""))</f>
        <v/>
      </c>
      <c r="K6" s="7" t="inlineStr">
        <is>
          <t>Confirm date in writing.</t>
        </is>
      </c>
    </row>
    <row r="7">
      <c r="A7" s="7" t="n"/>
      <c r="B7" s="7" t="n"/>
      <c r="C7" s="7" t="n"/>
      <c r="D7" s="7" t="n"/>
      <c r="E7" s="7" t="n"/>
      <c r="F7" s="7" t="n"/>
      <c r="G7" s="7" t="n"/>
      <c r="H7" s="7" t="n"/>
      <c r="I7" s="7" t="n"/>
      <c r="J7" s="9">
        <f>IF(OR(I7="",H7="Opted out",H7="Replied - no"),"",IF(TODAY()&gt;I7,"OVERDUE",""))</f>
        <v/>
      </c>
      <c r="K7" s="7" t="n"/>
    </row>
    <row r="8">
      <c r="A8" s="7" t="n"/>
      <c r="B8" s="7" t="n"/>
      <c r="C8" s="7" t="n"/>
      <c r="D8" s="7" t="n"/>
      <c r="E8" s="7" t="n"/>
      <c r="F8" s="7" t="n"/>
      <c r="G8" s="7" t="n"/>
      <c r="H8" s="7" t="n"/>
      <c r="I8" s="7" t="n"/>
      <c r="J8" s="9">
        <f>IF(OR(I8="",H8="Opted out",H8="Replied - no"),"",IF(TODAY()&gt;I8,"OVERDUE",""))</f>
        <v/>
      </c>
      <c r="K8" s="7" t="n"/>
    </row>
    <row r="9">
      <c r="A9" s="7" t="n"/>
      <c r="B9" s="7" t="n"/>
      <c r="C9" s="7" t="n"/>
      <c r="D9" s="7" t="n"/>
      <c r="E9" s="7" t="n"/>
      <c r="F9" s="7" t="n"/>
      <c r="G9" s="7" t="n"/>
      <c r="H9" s="7" t="n"/>
      <c r="I9" s="7" t="n"/>
      <c r="J9" s="9">
        <f>IF(OR(I9="",H9="Opted out",H9="Replied - no"),"",IF(TODAY()&gt;I9,"OVERDUE",""))</f>
        <v/>
      </c>
      <c r="K9" s="7" t="n"/>
    </row>
    <row r="10">
      <c r="A10" s="7" t="n"/>
      <c r="B10" s="7" t="n"/>
      <c r="C10" s="7" t="n"/>
      <c r="D10" s="7" t="n"/>
      <c r="E10" s="7" t="n"/>
      <c r="F10" s="7" t="n"/>
      <c r="G10" s="7" t="n"/>
      <c r="H10" s="7" t="n"/>
      <c r="I10" s="7" t="n"/>
      <c r="J10" s="9">
        <f>IF(OR(I10="",H10="Opted out",H10="Replied - no"),"",IF(TODAY()&gt;I10,"OVERDUE",""))</f>
        <v/>
      </c>
      <c r="K10" s="7" t="n"/>
    </row>
    <row r="11">
      <c r="A11" s="7" t="n"/>
      <c r="B11" s="7" t="n"/>
      <c r="C11" s="7" t="n"/>
      <c r="D11" s="7" t="n"/>
      <c r="E11" s="7" t="n"/>
      <c r="F11" s="7" t="n"/>
      <c r="G11" s="7" t="n"/>
      <c r="H11" s="7" t="n"/>
      <c r="I11" s="7" t="n"/>
      <c r="J11" s="9">
        <f>IF(OR(I11="",H11="Opted out",H11="Replied - no"),"",IF(TODAY()&gt;I11,"OVERDUE",""))</f>
        <v/>
      </c>
      <c r="K11" s="7" t="n"/>
    </row>
    <row r="12">
      <c r="A12" s="7" t="n"/>
      <c r="B12" s="7" t="n"/>
      <c r="C12" s="7" t="n"/>
      <c r="D12" s="7" t="n"/>
      <c r="E12" s="7" t="n"/>
      <c r="F12" s="7" t="n"/>
      <c r="G12" s="7" t="n"/>
      <c r="H12" s="7" t="n"/>
      <c r="I12" s="7" t="n"/>
      <c r="J12" s="9">
        <f>IF(OR(I12="",H12="Opted out",H12="Replied - no"),"",IF(TODAY()&gt;I12,"OVERDUE",""))</f>
        <v/>
      </c>
      <c r="K12" s="7" t="n"/>
    </row>
    <row r="13">
      <c r="A13" s="7" t="n"/>
      <c r="B13" s="7" t="n"/>
      <c r="C13" s="7" t="n"/>
      <c r="D13" s="7" t="n"/>
      <c r="E13" s="7" t="n"/>
      <c r="F13" s="7" t="n"/>
      <c r="G13" s="7" t="n"/>
      <c r="H13" s="7" t="n"/>
      <c r="I13" s="7" t="n"/>
      <c r="J13" s="9">
        <f>IF(OR(I13="",H13="Opted out",H13="Replied - no"),"",IF(TODAY()&gt;I13,"OVERDUE",""))</f>
        <v/>
      </c>
      <c r="K13" s="7" t="n"/>
    </row>
    <row r="14">
      <c r="A14" s="7" t="n"/>
      <c r="B14" s="7" t="n"/>
      <c r="C14" s="7" t="n"/>
      <c r="D14" s="7" t="n"/>
      <c r="E14" s="7" t="n"/>
      <c r="F14" s="7" t="n"/>
      <c r="G14" s="7" t="n"/>
      <c r="H14" s="7" t="n"/>
      <c r="I14" s="7" t="n"/>
      <c r="J14" s="9">
        <f>IF(OR(I14="",H14="Opted out",H14="Replied - no"),"",IF(TODAY()&gt;I14,"OVERDUE",""))</f>
        <v/>
      </c>
      <c r="K14" s="7" t="n"/>
    </row>
    <row r="15">
      <c r="A15" s="7" t="n"/>
      <c r="B15" s="7" t="n"/>
      <c r="C15" s="7" t="n"/>
      <c r="D15" s="7" t="n"/>
      <c r="E15" s="7" t="n"/>
      <c r="F15" s="7" t="n"/>
      <c r="G15" s="7" t="n"/>
      <c r="H15" s="7" t="n"/>
      <c r="I15" s="7" t="n"/>
      <c r="J15" s="9">
        <f>IF(OR(I15="",H15="Opted out",H15="Replied - no"),"",IF(TODAY()&gt;I15,"OVERDUE",""))</f>
        <v/>
      </c>
      <c r="K15" s="7" t="n"/>
    </row>
    <row r="16">
      <c r="A16" s="7" t="n"/>
      <c r="B16" s="7" t="n"/>
      <c r="C16" s="7" t="n"/>
      <c r="D16" s="7" t="n"/>
      <c r="E16" s="7" t="n"/>
      <c r="F16" s="7" t="n"/>
      <c r="G16" s="7" t="n"/>
      <c r="H16" s="7" t="n"/>
      <c r="I16" s="7" t="n"/>
      <c r="J16" s="9">
        <f>IF(OR(I16="",H16="Opted out",H16="Replied - no"),"",IF(TODAY()&gt;I16,"OVERDUE",""))</f>
        <v/>
      </c>
      <c r="K16" s="7" t="n"/>
    </row>
    <row r="17">
      <c r="A17" s="7" t="n"/>
      <c r="B17" s="7" t="n"/>
      <c r="C17" s="7" t="n"/>
      <c r="D17" s="7" t="n"/>
      <c r="E17" s="7" t="n"/>
      <c r="F17" s="7" t="n"/>
      <c r="G17" s="7" t="n"/>
      <c r="H17" s="7" t="n"/>
      <c r="I17" s="7" t="n"/>
      <c r="J17" s="9">
        <f>IF(OR(I17="",H17="Opted out",H17="Replied - no"),"",IF(TODAY()&gt;I17,"OVERDUE",""))</f>
        <v/>
      </c>
      <c r="K17" s="7" t="n"/>
    </row>
    <row r="18">
      <c r="A18" s="7" t="n"/>
      <c r="B18" s="7" t="n"/>
      <c r="C18" s="7" t="n"/>
      <c r="D18" s="7" t="n"/>
      <c r="E18" s="7" t="n"/>
      <c r="F18" s="7" t="n"/>
      <c r="G18" s="7" t="n"/>
      <c r="H18" s="7" t="n"/>
      <c r="I18" s="7" t="n"/>
      <c r="J18" s="9">
        <f>IF(OR(I18="",H18="Opted out",H18="Replied - no"),"",IF(TODAY()&gt;I18,"OVERDUE",""))</f>
        <v/>
      </c>
      <c r="K18" s="7" t="n"/>
    </row>
    <row r="19">
      <c r="A19" s="7" t="n"/>
      <c r="B19" s="7" t="n"/>
      <c r="C19" s="7" t="n"/>
      <c r="D19" s="7" t="n"/>
      <c r="E19" s="7" t="n"/>
      <c r="F19" s="7" t="n"/>
      <c r="G19" s="7" t="n"/>
      <c r="H19" s="7" t="n"/>
      <c r="I19" s="7" t="n"/>
      <c r="J19" s="9">
        <f>IF(OR(I19="",H19="Opted out",H19="Replied - no"),"",IF(TODAY()&gt;I19,"OVERDUE",""))</f>
        <v/>
      </c>
      <c r="K19" s="7" t="n"/>
    </row>
    <row r="20">
      <c r="A20" s="7" t="n"/>
      <c r="B20" s="7" t="n"/>
      <c r="C20" s="7" t="n"/>
      <c r="D20" s="7" t="n"/>
      <c r="E20" s="7" t="n"/>
      <c r="F20" s="7" t="n"/>
      <c r="G20" s="7" t="n"/>
      <c r="H20" s="7" t="n"/>
      <c r="I20" s="7" t="n"/>
      <c r="J20" s="9">
        <f>IF(OR(I20="",H20="Opted out",H20="Replied - no"),"",IF(TODAY()&gt;I20,"OVERDUE",""))</f>
        <v/>
      </c>
      <c r="K20" s="7" t="n"/>
    </row>
    <row r="21">
      <c r="A21" s="7" t="n"/>
      <c r="B21" s="7" t="n"/>
      <c r="C21" s="7" t="n"/>
      <c r="D21" s="7" t="n"/>
      <c r="E21" s="7" t="n"/>
      <c r="F21" s="7" t="n"/>
      <c r="G21" s="7" t="n"/>
      <c r="H21" s="7" t="n"/>
      <c r="I21" s="7" t="n"/>
      <c r="J21" s="9">
        <f>IF(OR(I21="",H21="Opted out",H21="Replied - no"),"",IF(TODAY()&gt;I21,"OVERDUE",""))</f>
        <v/>
      </c>
      <c r="K21" s="7" t="n"/>
    </row>
    <row r="22">
      <c r="A22" s="7" t="n"/>
      <c r="B22" s="7" t="n"/>
      <c r="C22" s="7" t="n"/>
      <c r="D22" s="7" t="n"/>
      <c r="E22" s="7" t="n"/>
      <c r="F22" s="7" t="n"/>
      <c r="G22" s="7" t="n"/>
      <c r="H22" s="7" t="n"/>
      <c r="I22" s="7" t="n"/>
      <c r="J22" s="9">
        <f>IF(OR(I22="",H22="Opted out",H22="Replied - no"),"",IF(TODAY()&gt;I22,"OVERDUE",""))</f>
        <v/>
      </c>
      <c r="K22" s="7" t="n"/>
    </row>
    <row r="23">
      <c r="A23" s="7" t="n"/>
      <c r="B23" s="7" t="n"/>
      <c r="C23" s="7" t="n"/>
      <c r="D23" s="7" t="n"/>
      <c r="E23" s="7" t="n"/>
      <c r="F23" s="7" t="n"/>
      <c r="G23" s="7" t="n"/>
      <c r="H23" s="7" t="n"/>
      <c r="I23" s="7" t="n"/>
      <c r="J23" s="9">
        <f>IF(OR(I23="",H23="Opted out",H23="Replied - no"),"",IF(TODAY()&gt;I23,"OVERDUE",""))</f>
        <v/>
      </c>
      <c r="K23" s="7" t="n"/>
    </row>
    <row r="24">
      <c r="A24" s="7" t="n"/>
      <c r="B24" s="7" t="n"/>
      <c r="C24" s="7" t="n"/>
      <c r="D24" s="7" t="n"/>
      <c r="E24" s="7" t="n"/>
      <c r="F24" s="7" t="n"/>
      <c r="G24" s="7" t="n"/>
      <c r="H24" s="7" t="n"/>
      <c r="I24" s="7" t="n"/>
      <c r="J24" s="9">
        <f>IF(OR(I24="",H24="Opted out",H24="Replied - no"),"",IF(TODAY()&gt;I24,"OVERDUE",""))</f>
        <v/>
      </c>
      <c r="K24" s="7" t="n"/>
    </row>
    <row r="25">
      <c r="A25" s="7" t="n"/>
      <c r="B25" s="7" t="n"/>
      <c r="C25" s="7" t="n"/>
      <c r="D25" s="7" t="n"/>
      <c r="E25" s="7" t="n"/>
      <c r="F25" s="7" t="n"/>
      <c r="G25" s="7" t="n"/>
      <c r="H25" s="7" t="n"/>
      <c r="I25" s="7" t="n"/>
      <c r="J25" s="9">
        <f>IF(OR(I25="",H25="Opted out",H25="Replied - no"),"",IF(TODAY()&gt;I25,"OVERDUE",""))</f>
        <v/>
      </c>
      <c r="K25" s="7" t="n"/>
    </row>
    <row r="26">
      <c r="A26" s="7" t="n"/>
      <c r="B26" s="7" t="n"/>
      <c r="C26" s="7" t="n"/>
      <c r="D26" s="7" t="n"/>
      <c r="E26" s="7" t="n"/>
      <c r="F26" s="7" t="n"/>
      <c r="G26" s="7" t="n"/>
      <c r="H26" s="7" t="n"/>
      <c r="I26" s="7" t="n"/>
      <c r="J26" s="9">
        <f>IF(OR(I26="",H26="Opted out",H26="Replied - no"),"",IF(TODAY()&gt;I26,"OVERDUE",""))</f>
        <v/>
      </c>
      <c r="K26" s="7" t="n"/>
    </row>
    <row r="27">
      <c r="A27" s="7" t="n"/>
      <c r="B27" s="7" t="n"/>
      <c r="C27" s="7" t="n"/>
      <c r="D27" s="7" t="n"/>
      <c r="E27" s="7" t="n"/>
      <c r="F27" s="7" t="n"/>
      <c r="G27" s="7" t="n"/>
      <c r="H27" s="7" t="n"/>
      <c r="I27" s="7" t="n"/>
      <c r="J27" s="9">
        <f>IF(OR(I27="",H27="Opted out",H27="Replied - no"),"",IF(TODAY()&gt;I27,"OVERDUE",""))</f>
        <v/>
      </c>
      <c r="K27" s="7" t="n"/>
    </row>
    <row r="28">
      <c r="A28" s="7" t="n"/>
      <c r="B28" s="7" t="n"/>
      <c r="C28" s="7" t="n"/>
      <c r="D28" s="7" t="n"/>
      <c r="E28" s="7" t="n"/>
      <c r="F28" s="7" t="n"/>
      <c r="G28" s="7" t="n"/>
      <c r="H28" s="7" t="n"/>
      <c r="I28" s="7" t="n"/>
      <c r="J28" s="9">
        <f>IF(OR(I28="",H28="Opted out",H28="Replied - no"),"",IF(TODAY()&gt;I28,"OVERDUE",""))</f>
        <v/>
      </c>
      <c r="K28" s="7" t="n"/>
    </row>
    <row r="29">
      <c r="A29" s="7" t="n"/>
      <c r="B29" s="7" t="n"/>
      <c r="C29" s="7" t="n"/>
      <c r="D29" s="7" t="n"/>
      <c r="E29" s="7" t="n"/>
      <c r="F29" s="7" t="n"/>
      <c r="G29" s="7" t="n"/>
      <c r="H29" s="7" t="n"/>
      <c r="I29" s="7" t="n"/>
      <c r="J29" s="9">
        <f>IF(OR(I29="",H29="Opted out",H29="Replied - no"),"",IF(TODAY()&gt;I29,"OVERDUE",""))</f>
        <v/>
      </c>
      <c r="K29" s="7" t="n"/>
    </row>
    <row r="30">
      <c r="A30" s="7" t="n"/>
      <c r="B30" s="7" t="n"/>
      <c r="C30" s="7" t="n"/>
      <c r="D30" s="7" t="n"/>
      <c r="E30" s="7" t="n"/>
      <c r="F30" s="7" t="n"/>
      <c r="G30" s="7" t="n"/>
      <c r="H30" s="7" t="n"/>
      <c r="I30" s="7" t="n"/>
      <c r="J30" s="9">
        <f>IF(OR(I30="",H30="Opted out",H30="Replied - no"),"",IF(TODAY()&gt;I30,"OVERDUE",""))</f>
        <v/>
      </c>
      <c r="K30" s="7" t="n"/>
    </row>
    <row r="31">
      <c r="A31" s="7" t="n"/>
      <c r="B31" s="7" t="n"/>
      <c r="C31" s="7" t="n"/>
      <c r="D31" s="7" t="n"/>
      <c r="E31" s="7" t="n"/>
      <c r="F31" s="7" t="n"/>
      <c r="G31" s="7" t="n"/>
      <c r="H31" s="7" t="n"/>
      <c r="I31" s="7" t="n"/>
      <c r="J31" s="9">
        <f>IF(OR(I31="",H31="Opted out",H31="Replied - no"),"",IF(TODAY()&gt;I31,"OVERDUE",""))</f>
        <v/>
      </c>
      <c r="K31" s="7" t="n"/>
    </row>
    <row r="32">
      <c r="A32" s="7" t="n"/>
      <c r="B32" s="7" t="n"/>
      <c r="C32" s="7" t="n"/>
      <c r="D32" s="7" t="n"/>
      <c r="E32" s="7" t="n"/>
      <c r="F32" s="7" t="n"/>
      <c r="G32" s="7" t="n"/>
      <c r="H32" s="7" t="n"/>
      <c r="I32" s="7" t="n"/>
      <c r="J32" s="9">
        <f>IF(OR(I32="",H32="Opted out",H32="Replied - no"),"",IF(TODAY()&gt;I32,"OVERDUE",""))</f>
        <v/>
      </c>
      <c r="K32" s="7" t="n"/>
    </row>
    <row r="33">
      <c r="A33" s="7" t="n"/>
      <c r="B33" s="7" t="n"/>
      <c r="C33" s="7" t="n"/>
      <c r="D33" s="7" t="n"/>
      <c r="E33" s="7" t="n"/>
      <c r="F33" s="7" t="n"/>
      <c r="G33" s="7" t="n"/>
      <c r="H33" s="7" t="n"/>
      <c r="I33" s="7" t="n"/>
      <c r="J33" s="9">
        <f>IF(OR(I33="",H33="Opted out",H33="Replied - no"),"",IF(TODAY()&gt;I33,"OVERDUE",""))</f>
        <v/>
      </c>
      <c r="K33" s="7" t="n"/>
    </row>
    <row r="34">
      <c r="A34" s="7" t="n"/>
      <c r="B34" s="7" t="n"/>
      <c r="C34" s="7" t="n"/>
      <c r="D34" s="7" t="n"/>
      <c r="E34" s="7" t="n"/>
      <c r="F34" s="7" t="n"/>
      <c r="G34" s="7" t="n"/>
      <c r="H34" s="7" t="n"/>
      <c r="I34" s="7" t="n"/>
      <c r="J34" s="9">
        <f>IF(OR(I34="",H34="Opted out",H34="Replied - no"),"",IF(TODAY()&gt;I34,"OVERDUE",""))</f>
        <v/>
      </c>
      <c r="K34" s="7" t="n"/>
    </row>
    <row r="35">
      <c r="A35" s="7" t="n"/>
      <c r="B35" s="7" t="n"/>
      <c r="C35" s="7" t="n"/>
      <c r="D35" s="7" t="n"/>
      <c r="E35" s="7" t="n"/>
      <c r="F35" s="7" t="n"/>
      <c r="G35" s="7" t="n"/>
      <c r="H35" s="7" t="n"/>
      <c r="I35" s="7" t="n"/>
      <c r="J35" s="9">
        <f>IF(OR(I35="",H35="Opted out",H35="Replied - no"),"",IF(TODAY()&gt;I35,"OVERDUE",""))</f>
        <v/>
      </c>
      <c r="K35" s="7" t="n"/>
    </row>
    <row r="36">
      <c r="A36" s="7" t="n"/>
      <c r="B36" s="7" t="n"/>
      <c r="C36" s="7" t="n"/>
      <c r="D36" s="7" t="n"/>
      <c r="E36" s="7" t="n"/>
      <c r="F36" s="7" t="n"/>
      <c r="G36" s="7" t="n"/>
      <c r="H36" s="7" t="n"/>
      <c r="I36" s="7" t="n"/>
      <c r="J36" s="9">
        <f>IF(OR(I36="",H36="Opted out",H36="Replied - no"),"",IF(TODAY()&gt;I36,"OVERDUE",""))</f>
        <v/>
      </c>
      <c r="K36" s="7" t="n"/>
    </row>
    <row r="37">
      <c r="A37" s="7" t="n"/>
      <c r="B37" s="7" t="n"/>
      <c r="C37" s="7" t="n"/>
      <c r="D37" s="7" t="n"/>
      <c r="E37" s="7" t="n"/>
      <c r="F37" s="7" t="n"/>
      <c r="G37" s="7" t="n"/>
      <c r="H37" s="7" t="n"/>
      <c r="I37" s="7" t="n"/>
      <c r="J37" s="9">
        <f>IF(OR(I37="",H37="Opted out",H37="Replied - no"),"",IF(TODAY()&gt;I37,"OVERDUE",""))</f>
        <v/>
      </c>
      <c r="K37" s="7" t="n"/>
    </row>
    <row r="38">
      <c r="A38" s="7" t="n"/>
      <c r="B38" s="7" t="n"/>
      <c r="C38" s="7" t="n"/>
      <c r="D38" s="7" t="n"/>
      <c r="E38" s="7" t="n"/>
      <c r="F38" s="7" t="n"/>
      <c r="G38" s="7" t="n"/>
      <c r="H38" s="7" t="n"/>
      <c r="I38" s="7" t="n"/>
      <c r="J38" s="9">
        <f>IF(OR(I38="",H38="Opted out",H38="Replied - no"),"",IF(TODAY()&gt;I38,"OVERDUE",""))</f>
        <v/>
      </c>
      <c r="K38" s="7" t="n"/>
    </row>
    <row r="39">
      <c r="A39" s="7" t="n"/>
      <c r="B39" s="7" t="n"/>
      <c r="C39" s="7" t="n"/>
      <c r="D39" s="7" t="n"/>
      <c r="E39" s="7" t="n"/>
      <c r="F39" s="7" t="n"/>
      <c r="G39" s="7" t="n"/>
      <c r="H39" s="7" t="n"/>
      <c r="I39" s="7" t="n"/>
      <c r="J39" s="9">
        <f>IF(OR(I39="",H39="Opted out",H39="Replied - no"),"",IF(TODAY()&gt;I39,"OVERDUE",""))</f>
        <v/>
      </c>
      <c r="K39" s="7" t="n"/>
    </row>
    <row r="40">
      <c r="A40" s="7" t="n"/>
      <c r="B40" s="7" t="n"/>
      <c r="C40" s="7" t="n"/>
      <c r="D40" s="7" t="n"/>
      <c r="E40" s="7" t="n"/>
      <c r="F40" s="7" t="n"/>
      <c r="G40" s="7" t="n"/>
      <c r="H40" s="7" t="n"/>
      <c r="I40" s="7" t="n"/>
      <c r="J40" s="9">
        <f>IF(OR(I40="",H40="Opted out",H40="Replied - no"),"",IF(TODAY()&gt;I40,"OVERDUE",""))</f>
        <v/>
      </c>
      <c r="K40" s="7" t="n"/>
    </row>
    <row r="41">
      <c r="A41" s="7" t="n"/>
      <c r="B41" s="7" t="n"/>
      <c r="C41" s="7" t="n"/>
      <c r="D41" s="7" t="n"/>
      <c r="E41" s="7" t="n"/>
      <c r="F41" s="7" t="n"/>
      <c r="G41" s="7" t="n"/>
      <c r="H41" s="7" t="n"/>
      <c r="I41" s="7" t="n"/>
      <c r="J41" s="9">
        <f>IF(OR(I41="",H41="Opted out",H41="Replied - no"),"",IF(TODAY()&gt;I41,"OVERDUE",""))</f>
        <v/>
      </c>
      <c r="K41" s="7" t="n"/>
    </row>
    <row r="42">
      <c r="A42" s="7" t="n"/>
      <c r="B42" s="7" t="n"/>
      <c r="C42" s="7" t="n"/>
      <c r="D42" s="7" t="n"/>
      <c r="E42" s="7" t="n"/>
      <c r="F42" s="7" t="n"/>
      <c r="G42" s="7" t="n"/>
      <c r="H42" s="7" t="n"/>
      <c r="I42" s="7" t="n"/>
      <c r="J42" s="9">
        <f>IF(OR(I42="",H42="Opted out",H42="Replied - no"),"",IF(TODAY()&gt;I42,"OVERDUE",""))</f>
        <v/>
      </c>
      <c r="K42" s="7" t="n"/>
    </row>
    <row r="43">
      <c r="A43" s="7" t="n"/>
      <c r="B43" s="7" t="n"/>
      <c r="C43" s="7" t="n"/>
      <c r="D43" s="7" t="n"/>
      <c r="E43" s="7" t="n"/>
      <c r="F43" s="7" t="n"/>
      <c r="G43" s="7" t="n"/>
      <c r="H43" s="7" t="n"/>
      <c r="I43" s="7" t="n"/>
      <c r="J43" s="9">
        <f>IF(OR(I43="",H43="Opted out",H43="Replied - no"),"",IF(TODAY()&gt;I43,"OVERDUE",""))</f>
        <v/>
      </c>
      <c r="K43" s="7" t="n"/>
    </row>
    <row r="44">
      <c r="A44" s="7" t="n"/>
      <c r="B44" s="7" t="n"/>
      <c r="C44" s="7" t="n"/>
      <c r="D44" s="7" t="n"/>
      <c r="E44" s="7" t="n"/>
      <c r="F44" s="7" t="n"/>
      <c r="G44" s="7" t="n"/>
      <c r="H44" s="7" t="n"/>
      <c r="I44" s="7" t="n"/>
      <c r="J44" s="9">
        <f>IF(OR(I44="",H44="Opted out",H44="Replied - no"),"",IF(TODAY()&gt;I44,"OVERDUE",""))</f>
        <v/>
      </c>
      <c r="K44" s="7" t="n"/>
    </row>
    <row r="45">
      <c r="A45" s="7" t="n"/>
      <c r="B45" s="7" t="n"/>
      <c r="C45" s="7" t="n"/>
      <c r="D45" s="7" t="n"/>
      <c r="E45" s="7" t="n"/>
      <c r="F45" s="7" t="n"/>
      <c r="G45" s="7" t="n"/>
      <c r="H45" s="7" t="n"/>
      <c r="I45" s="7" t="n"/>
      <c r="J45" s="9">
        <f>IF(OR(I45="",H45="Opted out",H45="Replied - no"),"",IF(TODAY()&gt;I45,"OVERDUE",""))</f>
        <v/>
      </c>
      <c r="K45" s="7" t="n"/>
    </row>
    <row r="46">
      <c r="A46" s="7" t="n"/>
      <c r="B46" s="7" t="n"/>
      <c r="C46" s="7" t="n"/>
      <c r="D46" s="7" t="n"/>
      <c r="E46" s="7" t="n"/>
      <c r="F46" s="7" t="n"/>
      <c r="G46" s="7" t="n"/>
      <c r="H46" s="7" t="n"/>
      <c r="I46" s="7" t="n"/>
      <c r="J46" s="9">
        <f>IF(OR(I46="",H46="Opted out",H46="Replied - no"),"",IF(TODAY()&gt;I46,"OVERDUE",""))</f>
        <v/>
      </c>
      <c r="K46" s="7" t="n"/>
    </row>
    <row r="47">
      <c r="A47" s="7" t="n"/>
      <c r="B47" s="7" t="n"/>
      <c r="C47" s="7" t="n"/>
      <c r="D47" s="7" t="n"/>
      <c r="E47" s="7" t="n"/>
      <c r="F47" s="7" t="n"/>
      <c r="G47" s="7" t="n"/>
      <c r="H47" s="7" t="n"/>
      <c r="I47" s="7" t="n"/>
      <c r="J47" s="9">
        <f>IF(OR(I47="",H47="Opted out",H47="Replied - no"),"",IF(TODAY()&gt;I47,"OVERDUE",""))</f>
        <v/>
      </c>
      <c r="K47" s="7" t="n"/>
    </row>
    <row r="48">
      <c r="A48" s="7" t="n"/>
      <c r="B48" s="7" t="n"/>
      <c r="C48" s="7" t="n"/>
      <c r="D48" s="7" t="n"/>
      <c r="E48" s="7" t="n"/>
      <c r="F48" s="7" t="n"/>
      <c r="G48" s="7" t="n"/>
      <c r="H48" s="7" t="n"/>
      <c r="I48" s="7" t="n"/>
      <c r="J48" s="9">
        <f>IF(OR(I48="",H48="Opted out",H48="Replied - no"),"",IF(TODAY()&gt;I48,"OVERDUE",""))</f>
        <v/>
      </c>
      <c r="K48" s="7" t="n"/>
    </row>
    <row r="49">
      <c r="A49" s="7" t="n"/>
      <c r="B49" s="7" t="n"/>
      <c r="C49" s="7" t="n"/>
      <c r="D49" s="7" t="n"/>
      <c r="E49" s="7" t="n"/>
      <c r="F49" s="7" t="n"/>
      <c r="G49" s="7" t="n"/>
      <c r="H49" s="7" t="n"/>
      <c r="I49" s="7" t="n"/>
      <c r="J49" s="9">
        <f>IF(OR(I49="",H49="Opted out",H49="Replied - no"),"",IF(TODAY()&gt;I49,"OVERDUE",""))</f>
        <v/>
      </c>
      <c r="K49" s="7" t="n"/>
    </row>
    <row r="50">
      <c r="A50" s="7" t="n"/>
      <c r="B50" s="7" t="n"/>
      <c r="C50" s="7" t="n"/>
      <c r="D50" s="7" t="n"/>
      <c r="E50" s="7" t="n"/>
      <c r="F50" s="7" t="n"/>
      <c r="G50" s="7" t="n"/>
      <c r="H50" s="7" t="n"/>
      <c r="I50" s="7" t="n"/>
      <c r="J50" s="9">
        <f>IF(OR(I50="",H50="Opted out",H50="Replied - no"),"",IF(TODAY()&gt;I50,"OVERDUE",""))</f>
        <v/>
      </c>
      <c r="K50" s="7" t="n"/>
    </row>
    <row r="51">
      <c r="A51" s="7" t="n"/>
      <c r="B51" s="7" t="n"/>
      <c r="C51" s="7" t="n"/>
      <c r="D51" s="7" t="n"/>
      <c r="E51" s="7" t="n"/>
      <c r="F51" s="7" t="n"/>
      <c r="G51" s="7" t="n"/>
      <c r="H51" s="7" t="n"/>
      <c r="I51" s="7" t="n"/>
      <c r="J51" s="9">
        <f>IF(OR(I51="",H51="Opted out",H51="Replied - no"),"",IF(TODAY()&gt;I51,"OVERDUE",""))</f>
        <v/>
      </c>
      <c r="K51" s="7" t="n"/>
    </row>
    <row r="52">
      <c r="A52" s="7" t="n"/>
      <c r="B52" s="7" t="n"/>
      <c r="C52" s="7" t="n"/>
      <c r="D52" s="7" t="n"/>
      <c r="E52" s="7" t="n"/>
      <c r="F52" s="7" t="n"/>
      <c r="G52" s="7" t="n"/>
      <c r="H52" s="7" t="n"/>
      <c r="I52" s="7" t="n"/>
      <c r="J52" s="9">
        <f>IF(OR(I52="",H52="Opted out",H52="Replied - no"),"",IF(TODAY()&gt;I52,"OVERDUE",""))</f>
        <v/>
      </c>
      <c r="K52" s="7" t="n"/>
    </row>
    <row r="53">
      <c r="A53" s="7" t="n"/>
      <c r="B53" s="7" t="n"/>
      <c r="C53" s="7" t="n"/>
      <c r="D53" s="7" t="n"/>
      <c r="E53" s="7" t="n"/>
      <c r="F53" s="7" t="n"/>
      <c r="G53" s="7" t="n"/>
      <c r="H53" s="7" t="n"/>
      <c r="I53" s="7" t="n"/>
      <c r="J53" s="9">
        <f>IF(OR(I53="",H53="Opted out",H53="Replied - no"),"",IF(TODAY()&gt;I53,"OVERDUE",""))</f>
        <v/>
      </c>
      <c r="K53" s="7" t="n"/>
    </row>
    <row r="54">
      <c r="A54" s="7" t="n"/>
      <c r="B54" s="7" t="n"/>
      <c r="C54" s="7" t="n"/>
      <c r="D54" s="7" t="n"/>
      <c r="E54" s="7" t="n"/>
      <c r="F54" s="7" t="n"/>
      <c r="G54" s="7" t="n"/>
      <c r="H54" s="7" t="n"/>
      <c r="I54" s="7" t="n"/>
      <c r="J54" s="9">
        <f>IF(OR(I54="",H54="Opted out",H54="Replied - no"),"",IF(TODAY()&gt;I54,"OVERDUE",""))</f>
        <v/>
      </c>
      <c r="K54" s="7" t="n"/>
    </row>
    <row r="55">
      <c r="A55" s="7" t="n"/>
      <c r="B55" s="7" t="n"/>
      <c r="C55" s="7" t="n"/>
      <c r="D55" s="7" t="n"/>
      <c r="E55" s="7" t="n"/>
      <c r="F55" s="7" t="n"/>
      <c r="G55" s="7" t="n"/>
      <c r="H55" s="7" t="n"/>
      <c r="I55" s="7" t="n"/>
      <c r="J55" s="9">
        <f>IF(OR(I55="",H55="Opted out",H55="Replied - no"),"",IF(TODAY()&gt;I55,"OVERDUE",""))</f>
        <v/>
      </c>
      <c r="K55" s="7" t="n"/>
    </row>
    <row r="56">
      <c r="A56" s="7" t="n"/>
      <c r="B56" s="7" t="n"/>
      <c r="C56" s="7" t="n"/>
      <c r="D56" s="7" t="n"/>
      <c r="E56" s="7" t="n"/>
      <c r="F56" s="7" t="n"/>
      <c r="G56" s="7" t="n"/>
      <c r="H56" s="7" t="n"/>
      <c r="I56" s="7" t="n"/>
      <c r="J56" s="9">
        <f>IF(OR(I56="",H56="Opted out",H56="Replied - no"),"",IF(TODAY()&gt;I56,"OVERDUE",""))</f>
        <v/>
      </c>
      <c r="K56" s="7" t="n"/>
    </row>
    <row r="57">
      <c r="A57" s="7" t="n"/>
      <c r="B57" s="7" t="n"/>
      <c r="C57" s="7" t="n"/>
      <c r="D57" s="7" t="n"/>
      <c r="E57" s="7" t="n"/>
      <c r="F57" s="7" t="n"/>
      <c r="G57" s="7" t="n"/>
      <c r="H57" s="7" t="n"/>
      <c r="I57" s="7" t="n"/>
      <c r="J57" s="9">
        <f>IF(OR(I57="",H57="Opted out",H57="Replied - no"),"",IF(TODAY()&gt;I57,"OVERDUE",""))</f>
        <v/>
      </c>
      <c r="K57" s="7" t="n"/>
    </row>
    <row r="58">
      <c r="A58" s="7" t="n"/>
      <c r="B58" s="7" t="n"/>
      <c r="C58" s="7" t="n"/>
      <c r="D58" s="7" t="n"/>
      <c r="E58" s="7" t="n"/>
      <c r="F58" s="7" t="n"/>
      <c r="G58" s="7" t="n"/>
      <c r="H58" s="7" t="n"/>
      <c r="I58" s="7" t="n"/>
      <c r="J58" s="9">
        <f>IF(OR(I58="",H58="Opted out",H58="Replied - no"),"",IF(TODAY()&gt;I58,"OVERDUE",""))</f>
        <v/>
      </c>
      <c r="K58" s="7" t="n"/>
    </row>
    <row r="59">
      <c r="A59" s="7" t="n"/>
      <c r="B59" s="7" t="n"/>
      <c r="C59" s="7" t="n"/>
      <c r="D59" s="7" t="n"/>
      <c r="E59" s="7" t="n"/>
      <c r="F59" s="7" t="n"/>
      <c r="G59" s="7" t="n"/>
      <c r="H59" s="7" t="n"/>
      <c r="I59" s="7" t="n"/>
      <c r="J59" s="9">
        <f>IF(OR(I59="",H59="Opted out",H59="Replied - no"),"",IF(TODAY()&gt;I59,"OVERDUE",""))</f>
        <v/>
      </c>
      <c r="K59" s="7" t="n"/>
    </row>
    <row r="60">
      <c r="A60" s="7" t="n"/>
      <c r="B60" s="7" t="n"/>
      <c r="C60" s="7" t="n"/>
      <c r="D60" s="7" t="n"/>
      <c r="E60" s="7" t="n"/>
      <c r="F60" s="7" t="n"/>
      <c r="G60" s="7" t="n"/>
      <c r="H60" s="7" t="n"/>
      <c r="I60" s="7" t="n"/>
      <c r="J60" s="9">
        <f>IF(OR(I60="",H60="Opted out",H60="Replied - no"),"",IF(TODAY()&gt;I60,"OVERDUE",""))</f>
        <v/>
      </c>
      <c r="K60" s="7" t="n"/>
    </row>
    <row r="61">
      <c r="A61" s="7" t="n"/>
      <c r="B61" s="7" t="n"/>
      <c r="C61" s="7" t="n"/>
      <c r="D61" s="7" t="n"/>
      <c r="E61" s="7" t="n"/>
      <c r="F61" s="7" t="n"/>
      <c r="G61" s="7" t="n"/>
      <c r="H61" s="7" t="n"/>
      <c r="I61" s="7" t="n"/>
      <c r="J61" s="9">
        <f>IF(OR(I61="",H61="Opted out",H61="Replied - no"),"",IF(TODAY()&gt;I61,"OVERDUE",""))</f>
        <v/>
      </c>
      <c r="K61" s="7" t="n"/>
    </row>
    <row r="62">
      <c r="A62" s="7" t="n"/>
      <c r="B62" s="7" t="n"/>
      <c r="C62" s="7" t="n"/>
      <c r="D62" s="7" t="n"/>
      <c r="E62" s="7" t="n"/>
      <c r="F62" s="7" t="n"/>
      <c r="G62" s="7" t="n"/>
      <c r="H62" s="7" t="n"/>
      <c r="I62" s="7" t="n"/>
      <c r="J62" s="9">
        <f>IF(OR(I62="",H62="Opted out",H62="Replied - no"),"",IF(TODAY()&gt;I62,"OVERDUE",""))</f>
        <v/>
      </c>
      <c r="K62" s="7" t="n"/>
    </row>
    <row r="63">
      <c r="A63" s="7" t="n"/>
      <c r="B63" s="7" t="n"/>
      <c r="C63" s="7" t="n"/>
      <c r="D63" s="7" t="n"/>
      <c r="E63" s="7" t="n"/>
      <c r="F63" s="7" t="n"/>
      <c r="G63" s="7" t="n"/>
      <c r="H63" s="7" t="n"/>
      <c r="I63" s="7" t="n"/>
      <c r="J63" s="9">
        <f>IF(OR(I63="",H63="Opted out",H63="Replied - no"),"",IF(TODAY()&gt;I63,"OVERDUE",""))</f>
        <v/>
      </c>
      <c r="K63" s="7" t="n"/>
    </row>
    <row r="64">
      <c r="A64" s="7" t="n"/>
      <c r="B64" s="7" t="n"/>
      <c r="C64" s="7" t="n"/>
      <c r="D64" s="7" t="n"/>
      <c r="E64" s="7" t="n"/>
      <c r="F64" s="7" t="n"/>
      <c r="G64" s="7" t="n"/>
      <c r="H64" s="7" t="n"/>
      <c r="I64" s="7" t="n"/>
      <c r="J64" s="9">
        <f>IF(OR(I64="",H64="Opted out",H64="Replied - no"),"",IF(TODAY()&gt;I64,"OVERDUE",""))</f>
        <v/>
      </c>
      <c r="K64" s="7" t="n"/>
    </row>
    <row r="65">
      <c r="A65" s="7" t="n"/>
      <c r="B65" s="7" t="n"/>
      <c r="C65" s="7" t="n"/>
      <c r="D65" s="7" t="n"/>
      <c r="E65" s="7" t="n"/>
      <c r="F65" s="7" t="n"/>
      <c r="G65" s="7" t="n"/>
      <c r="H65" s="7" t="n"/>
      <c r="I65" s="7" t="n"/>
      <c r="J65" s="9">
        <f>IF(OR(I65="",H65="Opted out",H65="Replied - no"),"",IF(TODAY()&gt;I65,"OVERDUE",""))</f>
        <v/>
      </c>
      <c r="K65" s="7" t="n"/>
    </row>
    <row r="66">
      <c r="A66" s="7" t="n"/>
      <c r="B66" s="7" t="n"/>
      <c r="C66" s="7" t="n"/>
      <c r="D66" s="7" t="n"/>
      <c r="E66" s="7" t="n"/>
      <c r="F66" s="7" t="n"/>
      <c r="G66" s="7" t="n"/>
      <c r="H66" s="7" t="n"/>
      <c r="I66" s="7" t="n"/>
      <c r="J66" s="9">
        <f>IF(OR(I66="",H66="Opted out",H66="Replied - no"),"",IF(TODAY()&gt;I66,"OVERDUE",""))</f>
        <v/>
      </c>
      <c r="K66" s="7" t="n"/>
    </row>
    <row r="67">
      <c r="A67" s="7" t="n"/>
      <c r="B67" s="7" t="n"/>
      <c r="C67" s="7" t="n"/>
      <c r="D67" s="7" t="n"/>
      <c r="E67" s="7" t="n"/>
      <c r="F67" s="7" t="n"/>
      <c r="G67" s="7" t="n"/>
      <c r="H67" s="7" t="n"/>
      <c r="I67" s="7" t="n"/>
      <c r="J67" s="9">
        <f>IF(OR(I67="",H67="Opted out",H67="Replied - no"),"",IF(TODAY()&gt;I67,"OVERDUE",""))</f>
        <v/>
      </c>
      <c r="K67" s="7" t="n"/>
    </row>
    <row r="68">
      <c r="A68" s="7" t="n"/>
      <c r="B68" s="7" t="n"/>
      <c r="C68" s="7" t="n"/>
      <c r="D68" s="7" t="n"/>
      <c r="E68" s="7" t="n"/>
      <c r="F68" s="7" t="n"/>
      <c r="G68" s="7" t="n"/>
      <c r="H68" s="7" t="n"/>
      <c r="I68" s="7" t="n"/>
      <c r="J68" s="9">
        <f>IF(OR(I68="",H68="Opted out",H68="Replied - no"),"",IF(TODAY()&gt;I68,"OVERDUE",""))</f>
        <v/>
      </c>
      <c r="K68" s="7" t="n"/>
    </row>
    <row r="69">
      <c r="A69" s="7" t="n"/>
      <c r="B69" s="7" t="n"/>
      <c r="C69" s="7" t="n"/>
      <c r="D69" s="7" t="n"/>
      <c r="E69" s="7" t="n"/>
      <c r="F69" s="7" t="n"/>
      <c r="G69" s="7" t="n"/>
      <c r="H69" s="7" t="n"/>
      <c r="I69" s="7" t="n"/>
      <c r="J69" s="9">
        <f>IF(OR(I69="",H69="Opted out",H69="Replied - no"),"",IF(TODAY()&gt;I69,"OVERDUE",""))</f>
        <v/>
      </c>
      <c r="K69" s="7" t="n"/>
    </row>
    <row r="70">
      <c r="A70" s="7" t="n"/>
      <c r="B70" s="7" t="n"/>
      <c r="C70" s="7" t="n"/>
      <c r="D70" s="7" t="n"/>
      <c r="E70" s="7" t="n"/>
      <c r="F70" s="7" t="n"/>
      <c r="G70" s="7" t="n"/>
      <c r="H70" s="7" t="n"/>
      <c r="I70" s="7" t="n"/>
      <c r="J70" s="9">
        <f>IF(OR(I70="",H70="Opted out",H70="Replied - no"),"",IF(TODAY()&gt;I70,"OVERDUE",""))</f>
        <v/>
      </c>
      <c r="K70" s="7" t="n"/>
    </row>
    <row r="71">
      <c r="A71" s="7" t="n"/>
      <c r="B71" s="7" t="n"/>
      <c r="C71" s="7" t="n"/>
      <c r="D71" s="7" t="n"/>
      <c r="E71" s="7" t="n"/>
      <c r="F71" s="7" t="n"/>
      <c r="G71" s="7" t="n"/>
      <c r="H71" s="7" t="n"/>
      <c r="I71" s="7" t="n"/>
      <c r="J71" s="9">
        <f>IF(OR(I71="",H71="Opted out",H71="Replied - no"),"",IF(TODAY()&gt;I71,"OVERDUE",""))</f>
        <v/>
      </c>
      <c r="K71" s="7" t="n"/>
    </row>
    <row r="72">
      <c r="A72" s="7" t="n"/>
      <c r="B72" s="7" t="n"/>
      <c r="C72" s="7" t="n"/>
      <c r="D72" s="7" t="n"/>
      <c r="E72" s="7" t="n"/>
      <c r="F72" s="7" t="n"/>
      <c r="G72" s="7" t="n"/>
      <c r="H72" s="7" t="n"/>
      <c r="I72" s="7" t="n"/>
      <c r="J72" s="9">
        <f>IF(OR(I72="",H72="Opted out",H72="Replied - no"),"",IF(TODAY()&gt;I72,"OVERDUE",""))</f>
        <v/>
      </c>
      <c r="K72" s="7" t="n"/>
    </row>
    <row r="73">
      <c r="A73" s="7" t="n"/>
      <c r="B73" s="7" t="n"/>
      <c r="C73" s="7" t="n"/>
      <c r="D73" s="7" t="n"/>
      <c r="E73" s="7" t="n"/>
      <c r="F73" s="7" t="n"/>
      <c r="G73" s="7" t="n"/>
      <c r="H73" s="7" t="n"/>
      <c r="I73" s="7" t="n"/>
      <c r="J73" s="9">
        <f>IF(OR(I73="",H73="Opted out",H73="Replied - no"),"",IF(TODAY()&gt;I73,"OVERDUE",""))</f>
        <v/>
      </c>
      <c r="K73" s="7" t="n"/>
    </row>
    <row r="74">
      <c r="A74" s="7" t="n"/>
      <c r="B74" s="7" t="n"/>
      <c r="C74" s="7" t="n"/>
      <c r="D74" s="7" t="n"/>
      <c r="E74" s="7" t="n"/>
      <c r="F74" s="7" t="n"/>
      <c r="G74" s="7" t="n"/>
      <c r="H74" s="7" t="n"/>
      <c r="I74" s="7" t="n"/>
      <c r="J74" s="9">
        <f>IF(OR(I74="",H74="Opted out",H74="Replied - no"),"",IF(TODAY()&gt;I74,"OVERDUE",""))</f>
        <v/>
      </c>
      <c r="K74" s="7" t="n"/>
    </row>
    <row r="75">
      <c r="A75" s="7" t="n"/>
      <c r="B75" s="7" t="n"/>
      <c r="C75" s="7" t="n"/>
      <c r="D75" s="7" t="n"/>
      <c r="E75" s="7" t="n"/>
      <c r="F75" s="7" t="n"/>
      <c r="G75" s="7" t="n"/>
      <c r="H75" s="7" t="n"/>
      <c r="I75" s="7" t="n"/>
      <c r="J75" s="9">
        <f>IF(OR(I75="",H75="Opted out",H75="Replied - no"),"",IF(TODAY()&gt;I75,"OVERDUE",""))</f>
        <v/>
      </c>
      <c r="K75" s="7" t="n"/>
    </row>
    <row r="76">
      <c r="A76" s="7" t="n"/>
      <c r="B76" s="7" t="n"/>
      <c r="C76" s="7" t="n"/>
      <c r="D76" s="7" t="n"/>
      <c r="E76" s="7" t="n"/>
      <c r="F76" s="7" t="n"/>
      <c r="G76" s="7" t="n"/>
      <c r="H76" s="7" t="n"/>
      <c r="I76" s="7" t="n"/>
      <c r="J76" s="9">
        <f>IF(OR(I76="",H76="Opted out",H76="Replied - no"),"",IF(TODAY()&gt;I76,"OVERDUE",""))</f>
        <v/>
      </c>
      <c r="K76" s="7" t="n"/>
    </row>
    <row r="77">
      <c r="A77" s="7" t="n"/>
      <c r="B77" s="7" t="n"/>
      <c r="C77" s="7" t="n"/>
      <c r="D77" s="7" t="n"/>
      <c r="E77" s="7" t="n"/>
      <c r="F77" s="7" t="n"/>
      <c r="G77" s="7" t="n"/>
      <c r="H77" s="7" t="n"/>
      <c r="I77" s="7" t="n"/>
      <c r="J77" s="9">
        <f>IF(OR(I77="",H77="Opted out",H77="Replied - no"),"",IF(TODAY()&gt;I77,"OVERDUE",""))</f>
        <v/>
      </c>
      <c r="K77" s="7" t="n"/>
    </row>
    <row r="78">
      <c r="A78" s="7" t="n"/>
      <c r="B78" s="7" t="n"/>
      <c r="C78" s="7" t="n"/>
      <c r="D78" s="7" t="n"/>
      <c r="E78" s="7" t="n"/>
      <c r="F78" s="7" t="n"/>
      <c r="G78" s="7" t="n"/>
      <c r="H78" s="7" t="n"/>
      <c r="I78" s="7" t="n"/>
      <c r="J78" s="9">
        <f>IF(OR(I78="",H78="Opted out",H78="Replied - no"),"",IF(TODAY()&gt;I78,"OVERDUE",""))</f>
        <v/>
      </c>
      <c r="K78" s="7" t="n"/>
    </row>
    <row r="79">
      <c r="A79" s="7" t="n"/>
      <c r="B79" s="7" t="n"/>
      <c r="C79" s="7" t="n"/>
      <c r="D79" s="7" t="n"/>
      <c r="E79" s="7" t="n"/>
      <c r="F79" s="7" t="n"/>
      <c r="G79" s="7" t="n"/>
      <c r="H79" s="7" t="n"/>
      <c r="I79" s="7" t="n"/>
      <c r="J79" s="9">
        <f>IF(OR(I79="",H79="Opted out",H79="Replied - no"),"",IF(TODAY()&gt;I79,"OVERDUE",""))</f>
        <v/>
      </c>
      <c r="K79" s="7" t="n"/>
    </row>
    <row r="80">
      <c r="A80" s="7" t="n"/>
      <c r="B80" s="7" t="n"/>
      <c r="C80" s="7" t="n"/>
      <c r="D80" s="7" t="n"/>
      <c r="E80" s="7" t="n"/>
      <c r="F80" s="7" t="n"/>
      <c r="G80" s="7" t="n"/>
      <c r="H80" s="7" t="n"/>
      <c r="I80" s="7" t="n"/>
      <c r="J80" s="9">
        <f>IF(OR(I80="",H80="Opted out",H80="Replied - no"),"",IF(TODAY()&gt;I80,"OVERDUE",""))</f>
        <v/>
      </c>
      <c r="K80" s="7" t="n"/>
    </row>
    <row r="81">
      <c r="A81" s="7" t="n"/>
      <c r="B81" s="7" t="n"/>
      <c r="C81" s="7" t="n"/>
      <c r="D81" s="7" t="n"/>
      <c r="E81" s="7" t="n"/>
      <c r="F81" s="7" t="n"/>
      <c r="G81" s="7" t="n"/>
      <c r="H81" s="7" t="n"/>
      <c r="I81" s="7" t="n"/>
      <c r="J81" s="9">
        <f>IF(OR(I81="",H81="Opted out",H81="Replied - no"),"",IF(TODAY()&gt;I81,"OVERDUE",""))</f>
        <v/>
      </c>
      <c r="K81" s="7" t="n"/>
    </row>
    <row r="82">
      <c r="A82" s="7" t="n"/>
      <c r="B82" s="7" t="n"/>
      <c r="C82" s="7" t="n"/>
      <c r="D82" s="7" t="n"/>
      <c r="E82" s="7" t="n"/>
      <c r="F82" s="7" t="n"/>
      <c r="G82" s="7" t="n"/>
      <c r="H82" s="7" t="n"/>
      <c r="I82" s="7" t="n"/>
      <c r="J82" s="9">
        <f>IF(OR(I82="",H82="Opted out",H82="Replied - no"),"",IF(TODAY()&gt;I82,"OVERDUE",""))</f>
        <v/>
      </c>
      <c r="K82" s="7" t="n"/>
    </row>
    <row r="83">
      <c r="A83" s="7" t="n"/>
      <c r="B83" s="7" t="n"/>
      <c r="C83" s="7" t="n"/>
      <c r="D83" s="7" t="n"/>
      <c r="E83" s="7" t="n"/>
      <c r="F83" s="7" t="n"/>
      <c r="G83" s="7" t="n"/>
      <c r="H83" s="7" t="n"/>
      <c r="I83" s="7" t="n"/>
      <c r="J83" s="9">
        <f>IF(OR(I83="",H83="Opted out",H83="Replied - no"),"",IF(TODAY()&gt;I83,"OVERDUE",""))</f>
        <v/>
      </c>
      <c r="K83" s="7" t="n"/>
    </row>
    <row r="84">
      <c r="A84" s="7" t="n"/>
      <c r="B84" s="7" t="n"/>
      <c r="C84" s="7" t="n"/>
      <c r="D84" s="7" t="n"/>
      <c r="E84" s="7" t="n"/>
      <c r="F84" s="7" t="n"/>
      <c r="G84" s="7" t="n"/>
      <c r="H84" s="7" t="n"/>
      <c r="I84" s="7" t="n"/>
      <c r="J84" s="9">
        <f>IF(OR(I84="",H84="Opted out",H84="Replied - no"),"",IF(TODAY()&gt;I84,"OVERDUE",""))</f>
        <v/>
      </c>
      <c r="K84" s="7" t="n"/>
    </row>
    <row r="85">
      <c r="A85" s="7" t="n"/>
      <c r="B85" s="7" t="n"/>
      <c r="C85" s="7" t="n"/>
      <c r="D85" s="7" t="n"/>
      <c r="E85" s="7" t="n"/>
      <c r="F85" s="7" t="n"/>
      <c r="G85" s="7" t="n"/>
      <c r="H85" s="7" t="n"/>
      <c r="I85" s="7" t="n"/>
      <c r="J85" s="9">
        <f>IF(OR(I85="",H85="Opted out",H85="Replied - no"),"",IF(TODAY()&gt;I85,"OVERDUE",""))</f>
        <v/>
      </c>
      <c r="K85" s="7" t="n"/>
    </row>
    <row r="86">
      <c r="A86" s="7" t="n"/>
      <c r="B86" s="7" t="n"/>
      <c r="C86" s="7" t="n"/>
      <c r="D86" s="7" t="n"/>
      <c r="E86" s="7" t="n"/>
      <c r="F86" s="7" t="n"/>
      <c r="G86" s="7" t="n"/>
      <c r="H86" s="7" t="n"/>
      <c r="I86" s="7" t="n"/>
      <c r="J86" s="9">
        <f>IF(OR(I86="",H86="Opted out",H86="Replied - no"),"",IF(TODAY()&gt;I86,"OVERDUE",""))</f>
        <v/>
      </c>
      <c r="K86" s="7" t="n"/>
    </row>
    <row r="87">
      <c r="A87" s="7" t="n"/>
      <c r="B87" s="7" t="n"/>
      <c r="C87" s="7" t="n"/>
      <c r="D87" s="7" t="n"/>
      <c r="E87" s="7" t="n"/>
      <c r="F87" s="7" t="n"/>
      <c r="G87" s="7" t="n"/>
      <c r="H87" s="7" t="n"/>
      <c r="I87" s="7" t="n"/>
      <c r="J87" s="9">
        <f>IF(OR(I87="",H87="Opted out",H87="Replied - no"),"",IF(TODAY()&gt;I87,"OVERDUE",""))</f>
        <v/>
      </c>
      <c r="K87" s="7" t="n"/>
    </row>
    <row r="88">
      <c r="A88" s="7" t="n"/>
      <c r="B88" s="7" t="n"/>
      <c r="C88" s="7" t="n"/>
      <c r="D88" s="7" t="n"/>
      <c r="E88" s="7" t="n"/>
      <c r="F88" s="7" t="n"/>
      <c r="G88" s="7" t="n"/>
      <c r="H88" s="7" t="n"/>
      <c r="I88" s="7" t="n"/>
      <c r="J88" s="9">
        <f>IF(OR(I88="",H88="Opted out",H88="Replied - no"),"",IF(TODAY()&gt;I88,"OVERDUE",""))</f>
        <v/>
      </c>
      <c r="K88" s="7" t="n"/>
    </row>
    <row r="89">
      <c r="A89" s="7" t="n"/>
      <c r="B89" s="7" t="n"/>
      <c r="C89" s="7" t="n"/>
      <c r="D89" s="7" t="n"/>
      <c r="E89" s="7" t="n"/>
      <c r="F89" s="7" t="n"/>
      <c r="G89" s="7" t="n"/>
      <c r="H89" s="7" t="n"/>
      <c r="I89" s="7" t="n"/>
      <c r="J89" s="9">
        <f>IF(OR(I89="",H89="Opted out",H89="Replied - no"),"",IF(TODAY()&gt;I89,"OVERDUE",""))</f>
        <v/>
      </c>
      <c r="K89" s="7" t="n"/>
    </row>
    <row r="90">
      <c r="A90" s="7" t="n"/>
      <c r="B90" s="7" t="n"/>
      <c r="C90" s="7" t="n"/>
      <c r="D90" s="7" t="n"/>
      <c r="E90" s="7" t="n"/>
      <c r="F90" s="7" t="n"/>
      <c r="G90" s="7" t="n"/>
      <c r="H90" s="7" t="n"/>
      <c r="I90" s="7" t="n"/>
      <c r="J90" s="9">
        <f>IF(OR(I90="",H90="Opted out",H90="Replied - no"),"",IF(TODAY()&gt;I90,"OVERDUE",""))</f>
        <v/>
      </c>
      <c r="K90" s="7" t="n"/>
    </row>
    <row r="91">
      <c r="A91" s="7" t="n"/>
      <c r="B91" s="7" t="n"/>
      <c r="C91" s="7" t="n"/>
      <c r="D91" s="7" t="n"/>
      <c r="E91" s="7" t="n"/>
      <c r="F91" s="7" t="n"/>
      <c r="G91" s="7" t="n"/>
      <c r="H91" s="7" t="n"/>
      <c r="I91" s="7" t="n"/>
      <c r="J91" s="9">
        <f>IF(OR(I91="",H91="Opted out",H91="Replied - no"),"",IF(TODAY()&gt;I91,"OVERDUE",""))</f>
        <v/>
      </c>
      <c r="K91" s="7" t="n"/>
    </row>
    <row r="92">
      <c r="A92" s="7" t="n"/>
      <c r="B92" s="7" t="n"/>
      <c r="C92" s="7" t="n"/>
      <c r="D92" s="7" t="n"/>
      <c r="E92" s="7" t="n"/>
      <c r="F92" s="7" t="n"/>
      <c r="G92" s="7" t="n"/>
      <c r="H92" s="7" t="n"/>
      <c r="I92" s="7" t="n"/>
      <c r="J92" s="9">
        <f>IF(OR(I92="",H92="Opted out",H92="Replied - no"),"",IF(TODAY()&gt;I92,"OVERDUE",""))</f>
        <v/>
      </c>
      <c r="K92" s="7" t="n"/>
    </row>
    <row r="93">
      <c r="A93" s="7" t="n"/>
      <c r="B93" s="7" t="n"/>
      <c r="C93" s="7" t="n"/>
      <c r="D93" s="7" t="n"/>
      <c r="E93" s="7" t="n"/>
      <c r="F93" s="7" t="n"/>
      <c r="G93" s="7" t="n"/>
      <c r="H93" s="7" t="n"/>
      <c r="I93" s="7" t="n"/>
      <c r="J93" s="9">
        <f>IF(OR(I93="",H93="Opted out",H93="Replied - no"),"",IF(TODAY()&gt;I93,"OVERDUE",""))</f>
        <v/>
      </c>
      <c r="K93" s="7" t="n"/>
    </row>
    <row r="94">
      <c r="A94" s="7" t="n"/>
      <c r="B94" s="7" t="n"/>
      <c r="C94" s="7" t="n"/>
      <c r="D94" s="7" t="n"/>
      <c r="E94" s="7" t="n"/>
      <c r="F94" s="7" t="n"/>
      <c r="G94" s="7" t="n"/>
      <c r="H94" s="7" t="n"/>
      <c r="I94" s="7" t="n"/>
      <c r="J94" s="9">
        <f>IF(OR(I94="",H94="Opted out",H94="Replied - no"),"",IF(TODAY()&gt;I94,"OVERDUE",""))</f>
        <v/>
      </c>
      <c r="K94" s="7" t="n"/>
    </row>
    <row r="95">
      <c r="A95" s="7" t="n"/>
      <c r="B95" s="7" t="n"/>
      <c r="C95" s="7" t="n"/>
      <c r="D95" s="7" t="n"/>
      <c r="E95" s="7" t="n"/>
      <c r="F95" s="7" t="n"/>
      <c r="G95" s="7" t="n"/>
      <c r="H95" s="7" t="n"/>
      <c r="I95" s="7" t="n"/>
      <c r="J95" s="9">
        <f>IF(OR(I95="",H95="Opted out",H95="Replied - no"),"",IF(TODAY()&gt;I95,"OVERDUE",""))</f>
        <v/>
      </c>
      <c r="K95" s="7" t="n"/>
    </row>
    <row r="96">
      <c r="A96" s="7" t="n"/>
      <c r="B96" s="7" t="n"/>
      <c r="C96" s="7" t="n"/>
      <c r="D96" s="7" t="n"/>
      <c r="E96" s="7" t="n"/>
      <c r="F96" s="7" t="n"/>
      <c r="G96" s="7" t="n"/>
      <c r="H96" s="7" t="n"/>
      <c r="I96" s="7" t="n"/>
      <c r="J96" s="9">
        <f>IF(OR(I96="",H96="Opted out",H96="Replied - no"),"",IF(TODAY()&gt;I96,"OVERDUE",""))</f>
        <v/>
      </c>
      <c r="K96" s="7" t="n"/>
    </row>
    <row r="97">
      <c r="A97" s="7" t="n"/>
      <c r="B97" s="7" t="n"/>
      <c r="C97" s="7" t="n"/>
      <c r="D97" s="7" t="n"/>
      <c r="E97" s="7" t="n"/>
      <c r="F97" s="7" t="n"/>
      <c r="G97" s="7" t="n"/>
      <c r="H97" s="7" t="n"/>
      <c r="I97" s="7" t="n"/>
      <c r="J97" s="9">
        <f>IF(OR(I97="",H97="Opted out",H97="Replied - no"),"",IF(TODAY()&gt;I97,"OVERDUE",""))</f>
        <v/>
      </c>
      <c r="K97" s="7" t="n"/>
    </row>
    <row r="98">
      <c r="A98" s="7" t="n"/>
      <c r="B98" s="7" t="n"/>
      <c r="C98" s="7" t="n"/>
      <c r="D98" s="7" t="n"/>
      <c r="E98" s="7" t="n"/>
      <c r="F98" s="7" t="n"/>
      <c r="G98" s="7" t="n"/>
      <c r="H98" s="7" t="n"/>
      <c r="I98" s="7" t="n"/>
      <c r="J98" s="9">
        <f>IF(OR(I98="",H98="Opted out",H98="Replied - no"),"",IF(TODAY()&gt;I98,"OVERDUE",""))</f>
        <v/>
      </c>
      <c r="K98" s="7" t="n"/>
    </row>
    <row r="99">
      <c r="A99" s="7" t="n"/>
      <c r="B99" s="7" t="n"/>
      <c r="C99" s="7" t="n"/>
      <c r="D99" s="7" t="n"/>
      <c r="E99" s="7" t="n"/>
      <c r="F99" s="7" t="n"/>
      <c r="G99" s="7" t="n"/>
      <c r="H99" s="7" t="n"/>
      <c r="I99" s="7" t="n"/>
      <c r="J99" s="9">
        <f>IF(OR(I99="",H99="Opted out",H99="Replied - no"),"",IF(TODAY()&gt;I99,"OVERDUE",""))</f>
        <v/>
      </c>
      <c r="K99" s="7" t="n"/>
    </row>
    <row r="100">
      <c r="A100" s="7" t="n"/>
      <c r="B100" s="7" t="n"/>
      <c r="C100" s="7" t="n"/>
      <c r="D100" s="7" t="n"/>
      <c r="E100" s="7" t="n"/>
      <c r="F100" s="7" t="n"/>
      <c r="G100" s="7" t="n"/>
      <c r="H100" s="7" t="n"/>
      <c r="I100" s="7" t="n"/>
      <c r="J100" s="9">
        <f>IF(OR(I100="",H100="Opted out",H100="Replied - no"),"",IF(TODAY()&gt;I100,"OVERDUE",""))</f>
        <v/>
      </c>
      <c r="K100" s="7" t="n"/>
    </row>
    <row r="101">
      <c r="A101" s="7" t="n"/>
      <c r="B101" s="7" t="n"/>
      <c r="C101" s="7" t="n"/>
      <c r="D101" s="7" t="n"/>
      <c r="E101" s="7" t="n"/>
      <c r="F101" s="7" t="n"/>
      <c r="G101" s="7" t="n"/>
      <c r="H101" s="7" t="n"/>
      <c r="I101" s="7" t="n"/>
      <c r="J101" s="9">
        <f>IF(OR(I101="",H101="Opted out",H101="Replied - no"),"",IF(TODAY()&gt;I101,"OVERDUE",""))</f>
        <v/>
      </c>
      <c r="K101" s="7" t="n"/>
    </row>
    <row r="102">
      <c r="A102" s="7" t="n"/>
      <c r="B102" s="7" t="n"/>
      <c r="C102" s="7" t="n"/>
      <c r="D102" s="7" t="n"/>
      <c r="E102" s="7" t="n"/>
      <c r="F102" s="7" t="n"/>
      <c r="G102" s="7" t="n"/>
      <c r="H102" s="7" t="n"/>
      <c r="I102" s="7" t="n"/>
      <c r="J102" s="9">
        <f>IF(OR(I102="",H102="Opted out",H102="Replied - no"),"",IF(TODAY()&gt;I102,"OVERDUE",""))</f>
        <v/>
      </c>
      <c r="K102" s="7" t="n"/>
    </row>
    <row r="103">
      <c r="A103" s="7" t="n"/>
      <c r="B103" s="7" t="n"/>
      <c r="C103" s="7" t="n"/>
      <c r="D103" s="7" t="n"/>
      <c r="E103" s="7" t="n"/>
      <c r="F103" s="7" t="n"/>
      <c r="G103" s="7" t="n"/>
      <c r="H103" s="7" t="n"/>
      <c r="I103" s="7" t="n"/>
      <c r="J103" s="9">
        <f>IF(OR(I103="",H103="Opted out",H103="Replied - no"),"",IF(TODAY()&gt;I103,"OVERDUE",""))</f>
        <v/>
      </c>
      <c r="K103" s="7" t="n"/>
    </row>
    <row r="104">
      <c r="A104" s="7" t="n"/>
      <c r="B104" s="7" t="n"/>
      <c r="C104" s="7" t="n"/>
      <c r="D104" s="7" t="n"/>
      <c r="E104" s="7" t="n"/>
      <c r="F104" s="7" t="n"/>
      <c r="G104" s="7" t="n"/>
      <c r="H104" s="7" t="n"/>
      <c r="I104" s="7" t="n"/>
      <c r="J104" s="9">
        <f>IF(OR(I104="",H104="Opted out",H104="Replied - no"),"",IF(TODAY()&gt;I104,"OVERDUE",""))</f>
        <v/>
      </c>
      <c r="K104" s="7" t="n"/>
    </row>
    <row r="105">
      <c r="A105" s="7" t="n"/>
      <c r="B105" s="7" t="n"/>
      <c r="C105" s="7" t="n"/>
      <c r="D105" s="7" t="n"/>
      <c r="E105" s="7" t="n"/>
      <c r="F105" s="7" t="n"/>
      <c r="G105" s="7" t="n"/>
      <c r="H105" s="7" t="n"/>
      <c r="I105" s="7" t="n"/>
      <c r="J105" s="9">
        <f>IF(OR(I105="",H105="Opted out",H105="Replied - no"),"",IF(TODAY()&gt;I105,"OVERDUE",""))</f>
        <v/>
      </c>
      <c r="K105" s="7" t="n"/>
    </row>
    <row r="106">
      <c r="A106" s="7" t="n"/>
      <c r="B106" s="7" t="n"/>
      <c r="C106" s="7" t="n"/>
      <c r="D106" s="7" t="n"/>
      <c r="E106" s="7" t="n"/>
      <c r="F106" s="7" t="n"/>
      <c r="G106" s="7" t="n"/>
      <c r="H106" s="7" t="n"/>
      <c r="I106" s="7" t="n"/>
      <c r="J106" s="9">
        <f>IF(OR(I106="",H106="Opted out",H106="Replied - no"),"",IF(TODAY()&gt;I106,"OVERDUE",""))</f>
        <v/>
      </c>
      <c r="K106" s="7" t="n"/>
    </row>
    <row r="107">
      <c r="A107" s="7" t="n"/>
      <c r="B107" s="7" t="n"/>
      <c r="C107" s="7" t="n"/>
      <c r="D107" s="7" t="n"/>
      <c r="E107" s="7" t="n"/>
      <c r="F107" s="7" t="n"/>
      <c r="G107" s="7" t="n"/>
      <c r="H107" s="7" t="n"/>
      <c r="I107" s="7" t="n"/>
      <c r="J107" s="9">
        <f>IF(OR(I107="",H107="Opted out",H107="Replied - no"),"",IF(TODAY()&gt;I107,"OVERDUE",""))</f>
        <v/>
      </c>
      <c r="K107" s="7" t="n"/>
    </row>
    <row r="108">
      <c r="A108" s="7" t="n"/>
      <c r="B108" s="7" t="n"/>
      <c r="C108" s="7" t="n"/>
      <c r="D108" s="7" t="n"/>
      <c r="E108" s="7" t="n"/>
      <c r="F108" s="7" t="n"/>
      <c r="G108" s="7" t="n"/>
      <c r="H108" s="7" t="n"/>
      <c r="I108" s="7" t="n"/>
      <c r="J108" s="9">
        <f>IF(OR(I108="",H108="Opted out",H108="Replied - no"),"",IF(TODAY()&gt;I108,"OVERDUE",""))</f>
        <v/>
      </c>
      <c r="K108" s="7" t="n"/>
    </row>
    <row r="109">
      <c r="A109" s="7" t="n"/>
      <c r="B109" s="7" t="n"/>
      <c r="C109" s="7" t="n"/>
      <c r="D109" s="7" t="n"/>
      <c r="E109" s="7" t="n"/>
      <c r="F109" s="7" t="n"/>
      <c r="G109" s="7" t="n"/>
      <c r="H109" s="7" t="n"/>
      <c r="I109" s="7" t="n"/>
      <c r="J109" s="9">
        <f>IF(OR(I109="",H109="Opted out",H109="Replied - no"),"",IF(TODAY()&gt;I109,"OVERDUE",""))</f>
        <v/>
      </c>
      <c r="K109" s="7" t="n"/>
    </row>
    <row r="110">
      <c r="A110" s="7" t="n"/>
      <c r="B110" s="7" t="n"/>
      <c r="C110" s="7" t="n"/>
      <c r="D110" s="7" t="n"/>
      <c r="E110" s="7" t="n"/>
      <c r="F110" s="7" t="n"/>
      <c r="G110" s="7" t="n"/>
      <c r="H110" s="7" t="n"/>
      <c r="I110" s="7" t="n"/>
      <c r="J110" s="9">
        <f>IF(OR(I110="",H110="Opted out",H110="Replied - no"),"",IF(TODAY()&gt;I110,"OVERDUE",""))</f>
        <v/>
      </c>
      <c r="K110" s="7" t="n"/>
    </row>
    <row r="111">
      <c r="A111" s="7" t="n"/>
      <c r="B111" s="7" t="n"/>
      <c r="C111" s="7" t="n"/>
      <c r="D111" s="7" t="n"/>
      <c r="E111" s="7" t="n"/>
      <c r="F111" s="7" t="n"/>
      <c r="G111" s="7" t="n"/>
      <c r="H111" s="7" t="n"/>
      <c r="I111" s="7" t="n"/>
      <c r="J111" s="9">
        <f>IF(OR(I111="",H111="Opted out",H111="Replied - no"),"",IF(TODAY()&gt;I111,"OVERDUE",""))</f>
        <v/>
      </c>
      <c r="K111" s="7" t="n"/>
    </row>
    <row r="112">
      <c r="A112" s="7" t="n"/>
      <c r="B112" s="7" t="n"/>
      <c r="C112" s="7" t="n"/>
      <c r="D112" s="7" t="n"/>
      <c r="E112" s="7" t="n"/>
      <c r="F112" s="7" t="n"/>
      <c r="G112" s="7" t="n"/>
      <c r="H112" s="7" t="n"/>
      <c r="I112" s="7" t="n"/>
      <c r="J112" s="9">
        <f>IF(OR(I112="",H112="Opted out",H112="Replied - no"),"",IF(TODAY()&gt;I112,"OVERDUE",""))</f>
        <v/>
      </c>
      <c r="K112" s="7" t="n"/>
    </row>
    <row r="113">
      <c r="A113" s="7" t="n"/>
      <c r="B113" s="7" t="n"/>
      <c r="C113" s="7" t="n"/>
      <c r="D113" s="7" t="n"/>
      <c r="E113" s="7" t="n"/>
      <c r="F113" s="7" t="n"/>
      <c r="G113" s="7" t="n"/>
      <c r="H113" s="7" t="n"/>
      <c r="I113" s="7" t="n"/>
      <c r="J113" s="9">
        <f>IF(OR(I113="",H113="Opted out",H113="Replied - no"),"",IF(TODAY()&gt;I113,"OVERDUE",""))</f>
        <v/>
      </c>
      <c r="K113" s="7" t="n"/>
    </row>
    <row r="114">
      <c r="A114" s="7" t="n"/>
      <c r="B114" s="7" t="n"/>
      <c r="C114" s="7" t="n"/>
      <c r="D114" s="7" t="n"/>
      <c r="E114" s="7" t="n"/>
      <c r="F114" s="7" t="n"/>
      <c r="G114" s="7" t="n"/>
      <c r="H114" s="7" t="n"/>
      <c r="I114" s="7" t="n"/>
      <c r="J114" s="9">
        <f>IF(OR(I114="",H114="Opted out",H114="Replied - no"),"",IF(TODAY()&gt;I114,"OVERDUE",""))</f>
        <v/>
      </c>
      <c r="K114" s="7" t="n"/>
    </row>
    <row r="115">
      <c r="A115" s="7" t="n"/>
      <c r="B115" s="7" t="n"/>
      <c r="C115" s="7" t="n"/>
      <c r="D115" s="7" t="n"/>
      <c r="E115" s="7" t="n"/>
      <c r="F115" s="7" t="n"/>
      <c r="G115" s="7" t="n"/>
      <c r="H115" s="7" t="n"/>
      <c r="I115" s="7" t="n"/>
      <c r="J115" s="9">
        <f>IF(OR(I115="",H115="Opted out",H115="Replied - no"),"",IF(TODAY()&gt;I115,"OVERDUE",""))</f>
        <v/>
      </c>
      <c r="K115" s="7" t="n"/>
    </row>
    <row r="116">
      <c r="A116" s="7" t="n"/>
      <c r="B116" s="7" t="n"/>
      <c r="C116" s="7" t="n"/>
      <c r="D116" s="7" t="n"/>
      <c r="E116" s="7" t="n"/>
      <c r="F116" s="7" t="n"/>
      <c r="G116" s="7" t="n"/>
      <c r="H116" s="7" t="n"/>
      <c r="I116" s="7" t="n"/>
      <c r="J116" s="9">
        <f>IF(OR(I116="",H116="Opted out",H116="Replied - no"),"",IF(TODAY()&gt;I116,"OVERDUE",""))</f>
        <v/>
      </c>
      <c r="K116" s="7" t="n"/>
    </row>
    <row r="117">
      <c r="A117" s="7" t="n"/>
      <c r="B117" s="7" t="n"/>
      <c r="C117" s="7" t="n"/>
      <c r="D117" s="7" t="n"/>
      <c r="E117" s="7" t="n"/>
      <c r="F117" s="7" t="n"/>
      <c r="G117" s="7" t="n"/>
      <c r="H117" s="7" t="n"/>
      <c r="I117" s="7" t="n"/>
      <c r="J117" s="9">
        <f>IF(OR(I117="",H117="Opted out",H117="Replied - no"),"",IF(TODAY()&gt;I117,"OVERDUE",""))</f>
        <v/>
      </c>
      <c r="K117" s="7" t="n"/>
    </row>
    <row r="118">
      <c r="A118" s="7" t="n"/>
      <c r="B118" s="7" t="n"/>
      <c r="C118" s="7" t="n"/>
      <c r="D118" s="7" t="n"/>
      <c r="E118" s="7" t="n"/>
      <c r="F118" s="7" t="n"/>
      <c r="G118" s="7" t="n"/>
      <c r="H118" s="7" t="n"/>
      <c r="I118" s="7" t="n"/>
      <c r="J118" s="9">
        <f>IF(OR(I118="",H118="Opted out",H118="Replied - no"),"",IF(TODAY()&gt;I118,"OVERDUE",""))</f>
        <v/>
      </c>
      <c r="K118" s="7" t="n"/>
    </row>
    <row r="119">
      <c r="A119" s="7" t="n"/>
      <c r="B119" s="7" t="n"/>
      <c r="C119" s="7" t="n"/>
      <c r="D119" s="7" t="n"/>
      <c r="E119" s="7" t="n"/>
      <c r="F119" s="7" t="n"/>
      <c r="G119" s="7" t="n"/>
      <c r="H119" s="7" t="n"/>
      <c r="I119" s="7" t="n"/>
      <c r="J119" s="9">
        <f>IF(OR(I119="",H119="Opted out",H119="Replied - no"),"",IF(TODAY()&gt;I119,"OVERDUE",""))</f>
        <v/>
      </c>
      <c r="K119" s="7" t="n"/>
    </row>
    <row r="120">
      <c r="A120" s="7" t="n"/>
      <c r="B120" s="7" t="n"/>
      <c r="C120" s="7" t="n"/>
      <c r="D120" s="7" t="n"/>
      <c r="E120" s="7" t="n"/>
      <c r="F120" s="7" t="n"/>
      <c r="G120" s="7" t="n"/>
      <c r="H120" s="7" t="n"/>
      <c r="I120" s="7" t="n"/>
      <c r="J120" s="9">
        <f>IF(OR(I120="",H120="Opted out",H120="Replied - no"),"",IF(TODAY()&gt;I120,"OVERDUE",""))</f>
        <v/>
      </c>
      <c r="K120" s="7" t="n"/>
    </row>
    <row r="121">
      <c r="A121" s="7" t="n"/>
      <c r="B121" s="7" t="n"/>
      <c r="C121" s="7" t="n"/>
      <c r="D121" s="7" t="n"/>
      <c r="E121" s="7" t="n"/>
      <c r="F121" s="7" t="n"/>
      <c r="G121" s="7" t="n"/>
      <c r="H121" s="7" t="n"/>
      <c r="I121" s="7" t="n"/>
      <c r="J121" s="9">
        <f>IF(OR(I121="",H121="Opted out",H121="Replied - no"),"",IF(TODAY()&gt;I121,"OVERDUE",""))</f>
        <v/>
      </c>
      <c r="K121" s="7" t="n"/>
    </row>
    <row r="122">
      <c r="A122" s="7" t="n"/>
      <c r="B122" s="7" t="n"/>
      <c r="C122" s="7" t="n"/>
      <c r="D122" s="7" t="n"/>
      <c r="E122" s="7" t="n"/>
      <c r="F122" s="7" t="n"/>
      <c r="G122" s="7" t="n"/>
      <c r="H122" s="7" t="n"/>
      <c r="I122" s="7" t="n"/>
      <c r="J122" s="9">
        <f>IF(OR(I122="",H122="Opted out",H122="Replied - no"),"",IF(TODAY()&gt;I122,"OVERDUE",""))</f>
        <v/>
      </c>
      <c r="K122" s="7" t="n"/>
    </row>
    <row r="123">
      <c r="A123" s="7" t="n"/>
      <c r="B123" s="7" t="n"/>
      <c r="C123" s="7" t="n"/>
      <c r="D123" s="7" t="n"/>
      <c r="E123" s="7" t="n"/>
      <c r="F123" s="7" t="n"/>
      <c r="G123" s="7" t="n"/>
      <c r="H123" s="7" t="n"/>
      <c r="I123" s="7" t="n"/>
      <c r="J123" s="9">
        <f>IF(OR(I123="",H123="Opted out",H123="Replied - no"),"",IF(TODAY()&gt;I123,"OVERDUE",""))</f>
        <v/>
      </c>
      <c r="K123" s="7" t="n"/>
    </row>
    <row r="124">
      <c r="A124" s="7" t="n"/>
      <c r="B124" s="7" t="n"/>
      <c r="C124" s="7" t="n"/>
      <c r="D124" s="7" t="n"/>
      <c r="E124" s="7" t="n"/>
      <c r="F124" s="7" t="n"/>
      <c r="G124" s="7" t="n"/>
      <c r="H124" s="7" t="n"/>
      <c r="I124" s="7" t="n"/>
      <c r="J124" s="9">
        <f>IF(OR(I124="",H124="Opted out",H124="Replied - no"),"",IF(TODAY()&gt;I124,"OVERDUE",""))</f>
        <v/>
      </c>
      <c r="K124" s="7" t="n"/>
    </row>
    <row r="125">
      <c r="A125" s="7" t="n"/>
      <c r="B125" s="7" t="n"/>
      <c r="C125" s="7" t="n"/>
      <c r="D125" s="7" t="n"/>
      <c r="E125" s="7" t="n"/>
      <c r="F125" s="7" t="n"/>
      <c r="G125" s="7" t="n"/>
      <c r="H125" s="7" t="n"/>
      <c r="I125" s="7" t="n"/>
      <c r="J125" s="9">
        <f>IF(OR(I125="",H125="Opted out",H125="Replied - no"),"",IF(TODAY()&gt;I125,"OVERDUE",""))</f>
        <v/>
      </c>
      <c r="K125" s="7" t="n"/>
    </row>
    <row r="126">
      <c r="A126" s="7" t="n"/>
      <c r="B126" s="7" t="n"/>
      <c r="C126" s="7" t="n"/>
      <c r="D126" s="7" t="n"/>
      <c r="E126" s="7" t="n"/>
      <c r="F126" s="7" t="n"/>
      <c r="G126" s="7" t="n"/>
      <c r="H126" s="7" t="n"/>
      <c r="I126" s="7" t="n"/>
      <c r="J126" s="9">
        <f>IF(OR(I126="",H126="Opted out",H126="Replied - no"),"",IF(TODAY()&gt;I126,"OVERDUE",""))</f>
        <v/>
      </c>
      <c r="K126" s="7" t="n"/>
    </row>
    <row r="127">
      <c r="A127" s="7" t="n"/>
      <c r="B127" s="7" t="n"/>
      <c r="C127" s="7" t="n"/>
      <c r="D127" s="7" t="n"/>
      <c r="E127" s="7" t="n"/>
      <c r="F127" s="7" t="n"/>
      <c r="G127" s="7" t="n"/>
      <c r="H127" s="7" t="n"/>
      <c r="I127" s="7" t="n"/>
      <c r="J127" s="9">
        <f>IF(OR(I127="",H127="Opted out",H127="Replied - no"),"",IF(TODAY()&gt;I127,"OVERDUE",""))</f>
        <v/>
      </c>
      <c r="K127" s="7" t="n"/>
    </row>
    <row r="128">
      <c r="A128" s="7" t="n"/>
      <c r="B128" s="7" t="n"/>
      <c r="C128" s="7" t="n"/>
      <c r="D128" s="7" t="n"/>
      <c r="E128" s="7" t="n"/>
      <c r="F128" s="7" t="n"/>
      <c r="G128" s="7" t="n"/>
      <c r="H128" s="7" t="n"/>
      <c r="I128" s="7" t="n"/>
      <c r="J128" s="9">
        <f>IF(OR(I128="",H128="Opted out",H128="Replied - no"),"",IF(TODAY()&gt;I128,"OVERDUE",""))</f>
        <v/>
      </c>
      <c r="K128" s="7" t="n"/>
    </row>
    <row r="129">
      <c r="A129" s="7" t="n"/>
      <c r="B129" s="7" t="n"/>
      <c r="C129" s="7" t="n"/>
      <c r="D129" s="7" t="n"/>
      <c r="E129" s="7" t="n"/>
      <c r="F129" s="7" t="n"/>
      <c r="G129" s="7" t="n"/>
      <c r="H129" s="7" t="n"/>
      <c r="I129" s="7" t="n"/>
      <c r="J129" s="9">
        <f>IF(OR(I129="",H129="Opted out",H129="Replied - no"),"",IF(TODAY()&gt;I129,"OVERDUE",""))</f>
        <v/>
      </c>
      <c r="K129" s="7" t="n"/>
    </row>
    <row r="130">
      <c r="A130" s="7" t="n"/>
      <c r="B130" s="7" t="n"/>
      <c r="C130" s="7" t="n"/>
      <c r="D130" s="7" t="n"/>
      <c r="E130" s="7" t="n"/>
      <c r="F130" s="7" t="n"/>
      <c r="G130" s="7" t="n"/>
      <c r="H130" s="7" t="n"/>
      <c r="I130" s="7" t="n"/>
      <c r="J130" s="9">
        <f>IF(OR(I130="",H130="Opted out",H130="Replied - no"),"",IF(TODAY()&gt;I130,"OVERDUE",""))</f>
        <v/>
      </c>
      <c r="K130" s="7" t="n"/>
    </row>
    <row r="131">
      <c r="A131" s="7" t="n"/>
      <c r="B131" s="7" t="n"/>
      <c r="C131" s="7" t="n"/>
      <c r="D131" s="7" t="n"/>
      <c r="E131" s="7" t="n"/>
      <c r="F131" s="7" t="n"/>
      <c r="G131" s="7" t="n"/>
      <c r="H131" s="7" t="n"/>
      <c r="I131" s="7" t="n"/>
      <c r="J131" s="9">
        <f>IF(OR(I131="",H131="Opted out",H131="Replied - no"),"",IF(TODAY()&gt;I131,"OVERDUE",""))</f>
        <v/>
      </c>
      <c r="K131" s="7" t="n"/>
    </row>
    <row r="132">
      <c r="A132" s="7" t="n"/>
      <c r="B132" s="7" t="n"/>
      <c r="C132" s="7" t="n"/>
      <c r="D132" s="7" t="n"/>
      <c r="E132" s="7" t="n"/>
      <c r="F132" s="7" t="n"/>
      <c r="G132" s="7" t="n"/>
      <c r="H132" s="7" t="n"/>
      <c r="I132" s="7" t="n"/>
      <c r="J132" s="9">
        <f>IF(OR(I132="",H132="Opted out",H132="Replied - no"),"",IF(TODAY()&gt;I132,"OVERDUE",""))</f>
        <v/>
      </c>
      <c r="K132" s="7" t="n"/>
    </row>
    <row r="133">
      <c r="A133" s="7" t="n"/>
      <c r="B133" s="7" t="n"/>
      <c r="C133" s="7" t="n"/>
      <c r="D133" s="7" t="n"/>
      <c r="E133" s="7" t="n"/>
      <c r="F133" s="7" t="n"/>
      <c r="G133" s="7" t="n"/>
      <c r="H133" s="7" t="n"/>
      <c r="I133" s="7" t="n"/>
      <c r="J133" s="9">
        <f>IF(OR(I133="",H133="Opted out",H133="Replied - no"),"",IF(TODAY()&gt;I133,"OVERDUE",""))</f>
        <v/>
      </c>
      <c r="K133" s="7" t="n"/>
    </row>
    <row r="134">
      <c r="A134" s="7" t="n"/>
      <c r="B134" s="7" t="n"/>
      <c r="C134" s="7" t="n"/>
      <c r="D134" s="7" t="n"/>
      <c r="E134" s="7" t="n"/>
      <c r="F134" s="7" t="n"/>
      <c r="G134" s="7" t="n"/>
      <c r="H134" s="7" t="n"/>
      <c r="I134" s="7" t="n"/>
      <c r="J134" s="9">
        <f>IF(OR(I134="",H134="Opted out",H134="Replied - no"),"",IF(TODAY()&gt;I134,"OVERDUE",""))</f>
        <v/>
      </c>
      <c r="K134" s="7" t="n"/>
    </row>
    <row r="135">
      <c r="A135" s="7" t="n"/>
      <c r="B135" s="7" t="n"/>
      <c r="C135" s="7" t="n"/>
      <c r="D135" s="7" t="n"/>
      <c r="E135" s="7" t="n"/>
      <c r="F135" s="7" t="n"/>
      <c r="G135" s="7" t="n"/>
      <c r="H135" s="7" t="n"/>
      <c r="I135" s="7" t="n"/>
      <c r="J135" s="9">
        <f>IF(OR(I135="",H135="Opted out",H135="Replied - no"),"",IF(TODAY()&gt;I135,"OVERDUE",""))</f>
        <v/>
      </c>
      <c r="K135" s="7" t="n"/>
    </row>
    <row r="136">
      <c r="A136" s="7" t="n"/>
      <c r="B136" s="7" t="n"/>
      <c r="C136" s="7" t="n"/>
      <c r="D136" s="7" t="n"/>
      <c r="E136" s="7" t="n"/>
      <c r="F136" s="7" t="n"/>
      <c r="G136" s="7" t="n"/>
      <c r="H136" s="7" t="n"/>
      <c r="I136" s="7" t="n"/>
      <c r="J136" s="9">
        <f>IF(OR(I136="",H136="Opted out",H136="Replied - no"),"",IF(TODAY()&gt;I136,"OVERDUE",""))</f>
        <v/>
      </c>
      <c r="K136" s="7" t="n"/>
    </row>
    <row r="137">
      <c r="A137" s="7" t="n"/>
      <c r="B137" s="7" t="n"/>
      <c r="C137" s="7" t="n"/>
      <c r="D137" s="7" t="n"/>
      <c r="E137" s="7" t="n"/>
      <c r="F137" s="7" t="n"/>
      <c r="G137" s="7" t="n"/>
      <c r="H137" s="7" t="n"/>
      <c r="I137" s="7" t="n"/>
      <c r="J137" s="9">
        <f>IF(OR(I137="",H137="Opted out",H137="Replied - no"),"",IF(TODAY()&gt;I137,"OVERDUE",""))</f>
        <v/>
      </c>
      <c r="K137" s="7" t="n"/>
    </row>
    <row r="138">
      <c r="A138" s="7" t="n"/>
      <c r="B138" s="7" t="n"/>
      <c r="C138" s="7" t="n"/>
      <c r="D138" s="7" t="n"/>
      <c r="E138" s="7" t="n"/>
      <c r="F138" s="7" t="n"/>
      <c r="G138" s="7" t="n"/>
      <c r="H138" s="7" t="n"/>
      <c r="I138" s="7" t="n"/>
      <c r="J138" s="9">
        <f>IF(OR(I138="",H138="Opted out",H138="Replied - no"),"",IF(TODAY()&gt;I138,"OVERDUE",""))</f>
        <v/>
      </c>
      <c r="K138" s="7" t="n"/>
    </row>
    <row r="139">
      <c r="A139" s="7" t="n"/>
      <c r="B139" s="7" t="n"/>
      <c r="C139" s="7" t="n"/>
      <c r="D139" s="7" t="n"/>
      <c r="E139" s="7" t="n"/>
      <c r="F139" s="7" t="n"/>
      <c r="G139" s="7" t="n"/>
      <c r="H139" s="7" t="n"/>
      <c r="I139" s="7" t="n"/>
      <c r="J139" s="9">
        <f>IF(OR(I139="",H139="Opted out",H139="Replied - no"),"",IF(TODAY()&gt;I139,"OVERDUE",""))</f>
        <v/>
      </c>
      <c r="K139" s="7" t="n"/>
    </row>
    <row r="140">
      <c r="A140" s="7" t="n"/>
      <c r="B140" s="7" t="n"/>
      <c r="C140" s="7" t="n"/>
      <c r="D140" s="7" t="n"/>
      <c r="E140" s="7" t="n"/>
      <c r="F140" s="7" t="n"/>
      <c r="G140" s="7" t="n"/>
      <c r="H140" s="7" t="n"/>
      <c r="I140" s="7" t="n"/>
      <c r="J140" s="9">
        <f>IF(OR(I140="",H140="Opted out",H140="Replied - no"),"",IF(TODAY()&gt;I140,"OVERDUE",""))</f>
        <v/>
      </c>
      <c r="K140" s="7" t="n"/>
    </row>
    <row r="141">
      <c r="A141" s="7" t="n"/>
      <c r="B141" s="7" t="n"/>
      <c r="C141" s="7" t="n"/>
      <c r="D141" s="7" t="n"/>
      <c r="E141" s="7" t="n"/>
      <c r="F141" s="7" t="n"/>
      <c r="G141" s="7" t="n"/>
      <c r="H141" s="7" t="n"/>
      <c r="I141" s="7" t="n"/>
      <c r="J141" s="9">
        <f>IF(OR(I141="",H141="Opted out",H141="Replied - no"),"",IF(TODAY()&gt;I141,"OVERDUE",""))</f>
        <v/>
      </c>
      <c r="K141" s="7" t="n"/>
    </row>
    <row r="142">
      <c r="A142" s="7" t="n"/>
      <c r="B142" s="7" t="n"/>
      <c r="C142" s="7" t="n"/>
      <c r="D142" s="7" t="n"/>
      <c r="E142" s="7" t="n"/>
      <c r="F142" s="7" t="n"/>
      <c r="G142" s="7" t="n"/>
      <c r="H142" s="7" t="n"/>
      <c r="I142" s="7" t="n"/>
      <c r="J142" s="9">
        <f>IF(OR(I142="",H142="Opted out",H142="Replied - no"),"",IF(TODAY()&gt;I142,"OVERDUE",""))</f>
        <v/>
      </c>
      <c r="K142" s="7" t="n"/>
    </row>
    <row r="143">
      <c r="A143" s="7" t="n"/>
      <c r="B143" s="7" t="n"/>
      <c r="C143" s="7" t="n"/>
      <c r="D143" s="7" t="n"/>
      <c r="E143" s="7" t="n"/>
      <c r="F143" s="7" t="n"/>
      <c r="G143" s="7" t="n"/>
      <c r="H143" s="7" t="n"/>
      <c r="I143" s="7" t="n"/>
      <c r="J143" s="9">
        <f>IF(OR(I143="",H143="Opted out",H143="Replied - no"),"",IF(TODAY()&gt;I143,"OVERDUE",""))</f>
        <v/>
      </c>
      <c r="K143" s="7" t="n"/>
    </row>
    <row r="144">
      <c r="A144" s="7" t="n"/>
      <c r="B144" s="7" t="n"/>
      <c r="C144" s="7" t="n"/>
      <c r="D144" s="7" t="n"/>
      <c r="E144" s="7" t="n"/>
      <c r="F144" s="7" t="n"/>
      <c r="G144" s="7" t="n"/>
      <c r="H144" s="7" t="n"/>
      <c r="I144" s="7" t="n"/>
      <c r="J144" s="9">
        <f>IF(OR(I144="",H144="Opted out",H144="Replied - no"),"",IF(TODAY()&gt;I144,"OVERDUE",""))</f>
        <v/>
      </c>
      <c r="K144" s="7" t="n"/>
    </row>
    <row r="145">
      <c r="A145" s="7" t="n"/>
      <c r="B145" s="7" t="n"/>
      <c r="C145" s="7" t="n"/>
      <c r="D145" s="7" t="n"/>
      <c r="E145" s="7" t="n"/>
      <c r="F145" s="7" t="n"/>
      <c r="G145" s="7" t="n"/>
      <c r="H145" s="7" t="n"/>
      <c r="I145" s="7" t="n"/>
      <c r="J145" s="9">
        <f>IF(OR(I145="",H145="Opted out",H145="Replied - no"),"",IF(TODAY()&gt;I145,"OVERDUE",""))</f>
        <v/>
      </c>
      <c r="K145" s="7" t="n"/>
    </row>
    <row r="146">
      <c r="A146" s="7" t="n"/>
      <c r="B146" s="7" t="n"/>
      <c r="C146" s="7" t="n"/>
      <c r="D146" s="7" t="n"/>
      <c r="E146" s="7" t="n"/>
      <c r="F146" s="7" t="n"/>
      <c r="G146" s="7" t="n"/>
      <c r="H146" s="7" t="n"/>
      <c r="I146" s="7" t="n"/>
      <c r="J146" s="9">
        <f>IF(OR(I146="",H146="Opted out",H146="Replied - no"),"",IF(TODAY()&gt;I146,"OVERDUE",""))</f>
        <v/>
      </c>
      <c r="K146" s="7" t="n"/>
    </row>
    <row r="147">
      <c r="A147" s="7" t="n"/>
      <c r="B147" s="7" t="n"/>
      <c r="C147" s="7" t="n"/>
      <c r="D147" s="7" t="n"/>
      <c r="E147" s="7" t="n"/>
      <c r="F147" s="7" t="n"/>
      <c r="G147" s="7" t="n"/>
      <c r="H147" s="7" t="n"/>
      <c r="I147" s="7" t="n"/>
      <c r="J147" s="9">
        <f>IF(OR(I147="",H147="Opted out",H147="Replied - no"),"",IF(TODAY()&gt;I147,"OVERDUE",""))</f>
        <v/>
      </c>
      <c r="K147" s="7" t="n"/>
    </row>
    <row r="148">
      <c r="A148" s="7" t="n"/>
      <c r="B148" s="7" t="n"/>
      <c r="C148" s="7" t="n"/>
      <c r="D148" s="7" t="n"/>
      <c r="E148" s="7" t="n"/>
      <c r="F148" s="7" t="n"/>
      <c r="G148" s="7" t="n"/>
      <c r="H148" s="7" t="n"/>
      <c r="I148" s="7" t="n"/>
      <c r="J148" s="9">
        <f>IF(OR(I148="",H148="Opted out",H148="Replied - no"),"",IF(TODAY()&gt;I148,"OVERDUE",""))</f>
        <v/>
      </c>
      <c r="K148" s="7" t="n"/>
    </row>
    <row r="149">
      <c r="A149" s="7" t="n"/>
      <c r="B149" s="7" t="n"/>
      <c r="C149" s="7" t="n"/>
      <c r="D149" s="7" t="n"/>
      <c r="E149" s="7" t="n"/>
      <c r="F149" s="7" t="n"/>
      <c r="G149" s="7" t="n"/>
      <c r="H149" s="7" t="n"/>
      <c r="I149" s="7" t="n"/>
      <c r="J149" s="9">
        <f>IF(OR(I149="",H149="Opted out",H149="Replied - no"),"",IF(TODAY()&gt;I149,"OVERDUE",""))</f>
        <v/>
      </c>
      <c r="K149" s="7" t="n"/>
    </row>
    <row r="150">
      <c r="A150" s="7" t="n"/>
      <c r="B150" s="7" t="n"/>
      <c r="C150" s="7" t="n"/>
      <c r="D150" s="7" t="n"/>
      <c r="E150" s="7" t="n"/>
      <c r="F150" s="7" t="n"/>
      <c r="G150" s="7" t="n"/>
      <c r="H150" s="7" t="n"/>
      <c r="I150" s="7" t="n"/>
      <c r="J150" s="9">
        <f>IF(OR(I150="",H150="Opted out",H150="Replied - no"),"",IF(TODAY()&gt;I150,"OVERDUE",""))</f>
        <v/>
      </c>
      <c r="K150" s="7" t="n"/>
    </row>
    <row r="151">
      <c r="A151" s="7" t="n"/>
      <c r="B151" s="7" t="n"/>
      <c r="C151" s="7" t="n"/>
      <c r="D151" s="7" t="n"/>
      <c r="E151" s="7" t="n"/>
      <c r="F151" s="7" t="n"/>
      <c r="G151" s="7" t="n"/>
      <c r="H151" s="7" t="n"/>
      <c r="I151" s="7" t="n"/>
      <c r="J151" s="9">
        <f>IF(OR(I151="",H151="Opted out",H151="Replied - no"),"",IF(TODAY()&gt;I151,"OVERDUE",""))</f>
        <v/>
      </c>
      <c r="K151" s="7" t="n"/>
    </row>
    <row r="152">
      <c r="A152" s="7" t="n"/>
      <c r="B152" s="7" t="n"/>
      <c r="C152" s="7" t="n"/>
      <c r="D152" s="7" t="n"/>
      <c r="E152" s="7" t="n"/>
      <c r="F152" s="7" t="n"/>
      <c r="G152" s="7" t="n"/>
      <c r="H152" s="7" t="n"/>
      <c r="I152" s="7" t="n"/>
      <c r="J152" s="9">
        <f>IF(OR(I152="",H152="Opted out",H152="Replied - no"),"",IF(TODAY()&gt;I152,"OVERDUE",""))</f>
        <v/>
      </c>
      <c r="K152" s="7" t="n"/>
    </row>
    <row r="153">
      <c r="A153" s="7" t="n"/>
      <c r="B153" s="7" t="n"/>
      <c r="C153" s="7" t="n"/>
      <c r="D153" s="7" t="n"/>
      <c r="E153" s="7" t="n"/>
      <c r="F153" s="7" t="n"/>
      <c r="G153" s="7" t="n"/>
      <c r="H153" s="7" t="n"/>
      <c r="I153" s="7" t="n"/>
      <c r="J153" s="9">
        <f>IF(OR(I153="",H153="Opted out",H153="Replied - no"),"",IF(TODAY()&gt;I153,"OVERDUE",""))</f>
        <v/>
      </c>
      <c r="K153" s="7" t="n"/>
    </row>
    <row r="154">
      <c r="A154" s="7" t="n"/>
      <c r="B154" s="7" t="n"/>
      <c r="C154" s="7" t="n"/>
      <c r="D154" s="7" t="n"/>
      <c r="E154" s="7" t="n"/>
      <c r="F154" s="7" t="n"/>
      <c r="G154" s="7" t="n"/>
      <c r="H154" s="7" t="n"/>
      <c r="I154" s="7" t="n"/>
      <c r="J154" s="9">
        <f>IF(OR(I154="",H154="Opted out",H154="Replied - no"),"",IF(TODAY()&gt;I154,"OVERDUE",""))</f>
        <v/>
      </c>
      <c r="K154" s="7" t="n"/>
    </row>
    <row r="155">
      <c r="A155" s="7" t="n"/>
      <c r="B155" s="7" t="n"/>
      <c r="C155" s="7" t="n"/>
      <c r="D155" s="7" t="n"/>
      <c r="E155" s="7" t="n"/>
      <c r="F155" s="7" t="n"/>
      <c r="G155" s="7" t="n"/>
      <c r="H155" s="7" t="n"/>
      <c r="I155" s="7" t="n"/>
      <c r="J155" s="9">
        <f>IF(OR(I155="",H155="Opted out",H155="Replied - no"),"",IF(TODAY()&gt;I155,"OVERDUE",""))</f>
        <v/>
      </c>
      <c r="K155" s="7" t="n"/>
    </row>
    <row r="156">
      <c r="A156" s="7" t="n"/>
      <c r="B156" s="7" t="n"/>
      <c r="C156" s="7" t="n"/>
      <c r="D156" s="7" t="n"/>
      <c r="E156" s="7" t="n"/>
      <c r="F156" s="7" t="n"/>
      <c r="G156" s="7" t="n"/>
      <c r="H156" s="7" t="n"/>
      <c r="I156" s="7" t="n"/>
      <c r="J156" s="9">
        <f>IF(OR(I156="",H156="Opted out",H156="Replied - no"),"",IF(TODAY()&gt;I156,"OVERDUE",""))</f>
        <v/>
      </c>
      <c r="K156" s="7" t="n"/>
    </row>
    <row r="157">
      <c r="A157" s="7" t="n"/>
      <c r="B157" s="7" t="n"/>
      <c r="C157" s="7" t="n"/>
      <c r="D157" s="7" t="n"/>
      <c r="E157" s="7" t="n"/>
      <c r="F157" s="7" t="n"/>
      <c r="G157" s="7" t="n"/>
      <c r="H157" s="7" t="n"/>
      <c r="I157" s="7" t="n"/>
      <c r="J157" s="9">
        <f>IF(OR(I157="",H157="Opted out",H157="Replied - no"),"",IF(TODAY()&gt;I157,"OVERDUE",""))</f>
        <v/>
      </c>
      <c r="K157" s="7" t="n"/>
    </row>
    <row r="158">
      <c r="A158" s="7" t="n"/>
      <c r="B158" s="7" t="n"/>
      <c r="C158" s="7" t="n"/>
      <c r="D158" s="7" t="n"/>
      <c r="E158" s="7" t="n"/>
      <c r="F158" s="7" t="n"/>
      <c r="G158" s="7" t="n"/>
      <c r="H158" s="7" t="n"/>
      <c r="I158" s="7" t="n"/>
      <c r="J158" s="9">
        <f>IF(OR(I158="",H158="Opted out",H158="Replied - no"),"",IF(TODAY()&gt;I158,"OVERDUE",""))</f>
        <v/>
      </c>
      <c r="K158" s="7" t="n"/>
    </row>
    <row r="159">
      <c r="A159" s="7" t="n"/>
      <c r="B159" s="7" t="n"/>
      <c r="C159" s="7" t="n"/>
      <c r="D159" s="7" t="n"/>
      <c r="E159" s="7" t="n"/>
      <c r="F159" s="7" t="n"/>
      <c r="G159" s="7" t="n"/>
      <c r="H159" s="7" t="n"/>
      <c r="I159" s="7" t="n"/>
      <c r="J159" s="9">
        <f>IF(OR(I159="",H159="Opted out",H159="Replied - no"),"",IF(TODAY()&gt;I159,"OVERDUE",""))</f>
        <v/>
      </c>
      <c r="K159" s="7" t="n"/>
    </row>
    <row r="160">
      <c r="A160" s="7" t="n"/>
      <c r="B160" s="7" t="n"/>
      <c r="C160" s="7" t="n"/>
      <c r="D160" s="7" t="n"/>
      <c r="E160" s="7" t="n"/>
      <c r="F160" s="7" t="n"/>
      <c r="G160" s="7" t="n"/>
      <c r="H160" s="7" t="n"/>
      <c r="I160" s="7" t="n"/>
      <c r="J160" s="9">
        <f>IF(OR(I160="",H160="Opted out",H160="Replied - no"),"",IF(TODAY()&gt;I160,"OVERDUE",""))</f>
        <v/>
      </c>
      <c r="K160" s="7" t="n"/>
    </row>
    <row r="161">
      <c r="A161" s="7" t="n"/>
      <c r="B161" s="7" t="n"/>
      <c r="C161" s="7" t="n"/>
      <c r="D161" s="7" t="n"/>
      <c r="E161" s="7" t="n"/>
      <c r="F161" s="7" t="n"/>
      <c r="G161" s="7" t="n"/>
      <c r="H161" s="7" t="n"/>
      <c r="I161" s="7" t="n"/>
      <c r="J161" s="9">
        <f>IF(OR(I161="",H161="Opted out",H161="Replied - no"),"",IF(TODAY()&gt;I161,"OVERDUE",""))</f>
        <v/>
      </c>
      <c r="K161" s="7" t="n"/>
    </row>
    <row r="162">
      <c r="A162" s="7" t="n"/>
      <c r="B162" s="7" t="n"/>
      <c r="C162" s="7" t="n"/>
      <c r="D162" s="7" t="n"/>
      <c r="E162" s="7" t="n"/>
      <c r="F162" s="7" t="n"/>
      <c r="G162" s="7" t="n"/>
      <c r="H162" s="7" t="n"/>
      <c r="I162" s="7" t="n"/>
      <c r="J162" s="9">
        <f>IF(OR(I162="",H162="Opted out",H162="Replied - no"),"",IF(TODAY()&gt;I162,"OVERDUE",""))</f>
        <v/>
      </c>
      <c r="K162" s="7" t="n"/>
    </row>
    <row r="163">
      <c r="A163" s="7" t="n"/>
      <c r="B163" s="7" t="n"/>
      <c r="C163" s="7" t="n"/>
      <c r="D163" s="7" t="n"/>
      <c r="E163" s="7" t="n"/>
      <c r="F163" s="7" t="n"/>
      <c r="G163" s="7" t="n"/>
      <c r="H163" s="7" t="n"/>
      <c r="I163" s="7" t="n"/>
      <c r="J163" s="9">
        <f>IF(OR(I163="",H163="Opted out",H163="Replied - no"),"",IF(TODAY()&gt;I163,"OVERDUE",""))</f>
        <v/>
      </c>
      <c r="K163" s="7" t="n"/>
    </row>
    <row r="164">
      <c r="A164" s="7" t="n"/>
      <c r="B164" s="7" t="n"/>
      <c r="C164" s="7" t="n"/>
      <c r="D164" s="7" t="n"/>
      <c r="E164" s="7" t="n"/>
      <c r="F164" s="7" t="n"/>
      <c r="G164" s="7" t="n"/>
      <c r="H164" s="7" t="n"/>
      <c r="I164" s="7" t="n"/>
      <c r="J164" s="9">
        <f>IF(OR(I164="",H164="Opted out",H164="Replied - no"),"",IF(TODAY()&gt;I164,"OVERDUE",""))</f>
        <v/>
      </c>
      <c r="K164" s="7" t="n"/>
    </row>
    <row r="165">
      <c r="A165" s="7" t="n"/>
      <c r="B165" s="7" t="n"/>
      <c r="C165" s="7" t="n"/>
      <c r="D165" s="7" t="n"/>
      <c r="E165" s="7" t="n"/>
      <c r="F165" s="7" t="n"/>
      <c r="G165" s="7" t="n"/>
      <c r="H165" s="7" t="n"/>
      <c r="I165" s="7" t="n"/>
      <c r="J165" s="9">
        <f>IF(OR(I165="",H165="Opted out",H165="Replied - no"),"",IF(TODAY()&gt;I165,"OVERDUE",""))</f>
        <v/>
      </c>
      <c r="K165" s="7" t="n"/>
    </row>
    <row r="166">
      <c r="A166" s="7" t="n"/>
      <c r="B166" s="7" t="n"/>
      <c r="C166" s="7" t="n"/>
      <c r="D166" s="7" t="n"/>
      <c r="E166" s="7" t="n"/>
      <c r="F166" s="7" t="n"/>
      <c r="G166" s="7" t="n"/>
      <c r="H166" s="7" t="n"/>
      <c r="I166" s="7" t="n"/>
      <c r="J166" s="9">
        <f>IF(OR(I166="",H166="Opted out",H166="Replied - no"),"",IF(TODAY()&gt;I166,"OVERDUE",""))</f>
        <v/>
      </c>
      <c r="K166" s="7" t="n"/>
    </row>
    <row r="167">
      <c r="A167" s="7" t="n"/>
      <c r="B167" s="7" t="n"/>
      <c r="C167" s="7" t="n"/>
      <c r="D167" s="7" t="n"/>
      <c r="E167" s="7" t="n"/>
      <c r="F167" s="7" t="n"/>
      <c r="G167" s="7" t="n"/>
      <c r="H167" s="7" t="n"/>
      <c r="I167" s="7" t="n"/>
      <c r="J167" s="9">
        <f>IF(OR(I167="",H167="Opted out",H167="Replied - no"),"",IF(TODAY()&gt;I167,"OVERDUE",""))</f>
        <v/>
      </c>
      <c r="K167" s="7" t="n"/>
    </row>
    <row r="168">
      <c r="A168" s="7" t="n"/>
      <c r="B168" s="7" t="n"/>
      <c r="C168" s="7" t="n"/>
      <c r="D168" s="7" t="n"/>
      <c r="E168" s="7" t="n"/>
      <c r="F168" s="7" t="n"/>
      <c r="G168" s="7" t="n"/>
      <c r="H168" s="7" t="n"/>
      <c r="I168" s="7" t="n"/>
      <c r="J168" s="9">
        <f>IF(OR(I168="",H168="Opted out",H168="Replied - no"),"",IF(TODAY()&gt;I168,"OVERDUE",""))</f>
        <v/>
      </c>
      <c r="K168" s="7" t="n"/>
    </row>
    <row r="169">
      <c r="A169" s="7" t="n"/>
      <c r="B169" s="7" t="n"/>
      <c r="C169" s="7" t="n"/>
      <c r="D169" s="7" t="n"/>
      <c r="E169" s="7" t="n"/>
      <c r="F169" s="7" t="n"/>
      <c r="G169" s="7" t="n"/>
      <c r="H169" s="7" t="n"/>
      <c r="I169" s="7" t="n"/>
      <c r="J169" s="9">
        <f>IF(OR(I169="",H169="Opted out",H169="Replied - no"),"",IF(TODAY()&gt;I169,"OVERDUE",""))</f>
        <v/>
      </c>
      <c r="K169" s="7" t="n"/>
    </row>
    <row r="170">
      <c r="A170" s="7" t="n"/>
      <c r="B170" s="7" t="n"/>
      <c r="C170" s="7" t="n"/>
      <c r="D170" s="7" t="n"/>
      <c r="E170" s="7" t="n"/>
      <c r="F170" s="7" t="n"/>
      <c r="G170" s="7" t="n"/>
      <c r="H170" s="7" t="n"/>
      <c r="I170" s="7" t="n"/>
      <c r="J170" s="9">
        <f>IF(OR(I170="",H170="Opted out",H170="Replied - no"),"",IF(TODAY()&gt;I170,"OVERDUE",""))</f>
        <v/>
      </c>
      <c r="K170" s="7" t="n"/>
    </row>
    <row r="171">
      <c r="A171" s="7" t="n"/>
      <c r="B171" s="7" t="n"/>
      <c r="C171" s="7" t="n"/>
      <c r="D171" s="7" t="n"/>
      <c r="E171" s="7" t="n"/>
      <c r="F171" s="7" t="n"/>
      <c r="G171" s="7" t="n"/>
      <c r="H171" s="7" t="n"/>
      <c r="I171" s="7" t="n"/>
      <c r="J171" s="9">
        <f>IF(OR(I171="",H171="Opted out",H171="Replied - no"),"",IF(TODAY()&gt;I171,"OVERDUE",""))</f>
        <v/>
      </c>
      <c r="K171" s="7" t="n"/>
    </row>
    <row r="172">
      <c r="A172" s="7" t="n"/>
      <c r="B172" s="7" t="n"/>
      <c r="C172" s="7" t="n"/>
      <c r="D172" s="7" t="n"/>
      <c r="E172" s="7" t="n"/>
      <c r="F172" s="7" t="n"/>
      <c r="G172" s="7" t="n"/>
      <c r="H172" s="7" t="n"/>
      <c r="I172" s="7" t="n"/>
      <c r="J172" s="9">
        <f>IF(OR(I172="",H172="Opted out",H172="Replied - no"),"",IF(TODAY()&gt;I172,"OVERDUE",""))</f>
        <v/>
      </c>
      <c r="K172" s="7" t="n"/>
    </row>
    <row r="173">
      <c r="A173" s="7" t="n"/>
      <c r="B173" s="7" t="n"/>
      <c r="C173" s="7" t="n"/>
      <c r="D173" s="7" t="n"/>
      <c r="E173" s="7" t="n"/>
      <c r="F173" s="7" t="n"/>
      <c r="G173" s="7" t="n"/>
      <c r="H173" s="7" t="n"/>
      <c r="I173" s="7" t="n"/>
      <c r="J173" s="9">
        <f>IF(OR(I173="",H173="Opted out",H173="Replied - no"),"",IF(TODAY()&gt;I173,"OVERDUE",""))</f>
        <v/>
      </c>
      <c r="K173" s="7" t="n"/>
    </row>
    <row r="174">
      <c r="A174" s="7" t="n"/>
      <c r="B174" s="7" t="n"/>
      <c r="C174" s="7" t="n"/>
      <c r="D174" s="7" t="n"/>
      <c r="E174" s="7" t="n"/>
      <c r="F174" s="7" t="n"/>
      <c r="G174" s="7" t="n"/>
      <c r="H174" s="7" t="n"/>
      <c r="I174" s="7" t="n"/>
      <c r="J174" s="9">
        <f>IF(OR(I174="",H174="Opted out",H174="Replied - no"),"",IF(TODAY()&gt;I174,"OVERDUE",""))</f>
        <v/>
      </c>
      <c r="K174" s="7" t="n"/>
    </row>
    <row r="175">
      <c r="A175" s="7" t="n"/>
      <c r="B175" s="7" t="n"/>
      <c r="C175" s="7" t="n"/>
      <c r="D175" s="7" t="n"/>
      <c r="E175" s="7" t="n"/>
      <c r="F175" s="7" t="n"/>
      <c r="G175" s="7" t="n"/>
      <c r="H175" s="7" t="n"/>
      <c r="I175" s="7" t="n"/>
      <c r="J175" s="9">
        <f>IF(OR(I175="",H175="Opted out",H175="Replied - no"),"",IF(TODAY()&gt;I175,"OVERDUE",""))</f>
        <v/>
      </c>
      <c r="K175" s="7" t="n"/>
    </row>
    <row r="176">
      <c r="A176" s="7" t="n"/>
      <c r="B176" s="7" t="n"/>
      <c r="C176" s="7" t="n"/>
      <c r="D176" s="7" t="n"/>
      <c r="E176" s="7" t="n"/>
      <c r="F176" s="7" t="n"/>
      <c r="G176" s="7" t="n"/>
      <c r="H176" s="7" t="n"/>
      <c r="I176" s="7" t="n"/>
      <c r="J176" s="9">
        <f>IF(OR(I176="",H176="Opted out",H176="Replied - no"),"",IF(TODAY()&gt;I176,"OVERDUE",""))</f>
        <v/>
      </c>
      <c r="K176" s="7" t="n"/>
    </row>
    <row r="177">
      <c r="A177" s="7" t="n"/>
      <c r="B177" s="7" t="n"/>
      <c r="C177" s="7" t="n"/>
      <c r="D177" s="7" t="n"/>
      <c r="E177" s="7" t="n"/>
      <c r="F177" s="7" t="n"/>
      <c r="G177" s="7" t="n"/>
      <c r="H177" s="7" t="n"/>
      <c r="I177" s="7" t="n"/>
      <c r="J177" s="9">
        <f>IF(OR(I177="",H177="Opted out",H177="Replied - no"),"",IF(TODAY()&gt;I177,"OVERDUE",""))</f>
        <v/>
      </c>
      <c r="K177" s="7" t="n"/>
    </row>
    <row r="178">
      <c r="A178" s="7" t="n"/>
      <c r="B178" s="7" t="n"/>
      <c r="C178" s="7" t="n"/>
      <c r="D178" s="7" t="n"/>
      <c r="E178" s="7" t="n"/>
      <c r="F178" s="7" t="n"/>
      <c r="G178" s="7" t="n"/>
      <c r="H178" s="7" t="n"/>
      <c r="I178" s="7" t="n"/>
      <c r="J178" s="9">
        <f>IF(OR(I178="",H178="Opted out",H178="Replied - no"),"",IF(TODAY()&gt;I178,"OVERDUE",""))</f>
        <v/>
      </c>
      <c r="K178" s="7" t="n"/>
    </row>
    <row r="179">
      <c r="A179" s="7" t="n"/>
      <c r="B179" s="7" t="n"/>
      <c r="C179" s="7" t="n"/>
      <c r="D179" s="7" t="n"/>
      <c r="E179" s="7" t="n"/>
      <c r="F179" s="7" t="n"/>
      <c r="G179" s="7" t="n"/>
      <c r="H179" s="7" t="n"/>
      <c r="I179" s="7" t="n"/>
      <c r="J179" s="9">
        <f>IF(OR(I179="",H179="Opted out",H179="Replied - no"),"",IF(TODAY()&gt;I179,"OVERDUE",""))</f>
        <v/>
      </c>
      <c r="K179" s="7" t="n"/>
    </row>
    <row r="180">
      <c r="A180" s="7" t="n"/>
      <c r="B180" s="7" t="n"/>
      <c r="C180" s="7" t="n"/>
      <c r="D180" s="7" t="n"/>
      <c r="E180" s="7" t="n"/>
      <c r="F180" s="7" t="n"/>
      <c r="G180" s="7" t="n"/>
      <c r="H180" s="7" t="n"/>
      <c r="I180" s="7" t="n"/>
      <c r="J180" s="9">
        <f>IF(OR(I180="",H180="Opted out",H180="Replied - no"),"",IF(TODAY()&gt;I180,"OVERDUE",""))</f>
        <v/>
      </c>
      <c r="K180" s="7" t="n"/>
    </row>
    <row r="181">
      <c r="A181" s="7" t="n"/>
      <c r="B181" s="7" t="n"/>
      <c r="C181" s="7" t="n"/>
      <c r="D181" s="7" t="n"/>
      <c r="E181" s="7" t="n"/>
      <c r="F181" s="7" t="n"/>
      <c r="G181" s="7" t="n"/>
      <c r="H181" s="7" t="n"/>
      <c r="I181" s="7" t="n"/>
      <c r="J181" s="9">
        <f>IF(OR(I181="",H181="Opted out",H181="Replied - no"),"",IF(TODAY()&gt;I181,"OVERDUE",""))</f>
        <v/>
      </c>
      <c r="K181" s="7" t="n"/>
    </row>
    <row r="182">
      <c r="A182" s="7" t="n"/>
      <c r="B182" s="7" t="n"/>
      <c r="C182" s="7" t="n"/>
      <c r="D182" s="7" t="n"/>
      <c r="E182" s="7" t="n"/>
      <c r="F182" s="7" t="n"/>
      <c r="G182" s="7" t="n"/>
      <c r="H182" s="7" t="n"/>
      <c r="I182" s="7" t="n"/>
      <c r="J182" s="9">
        <f>IF(OR(I182="",H182="Opted out",H182="Replied - no"),"",IF(TODAY()&gt;I182,"OVERDUE",""))</f>
        <v/>
      </c>
      <c r="K182" s="7" t="n"/>
    </row>
    <row r="183">
      <c r="A183" s="7" t="n"/>
      <c r="B183" s="7" t="n"/>
      <c r="C183" s="7" t="n"/>
      <c r="D183" s="7" t="n"/>
      <c r="E183" s="7" t="n"/>
      <c r="F183" s="7" t="n"/>
      <c r="G183" s="7" t="n"/>
      <c r="H183" s="7" t="n"/>
      <c r="I183" s="7" t="n"/>
      <c r="J183" s="9">
        <f>IF(OR(I183="",H183="Opted out",H183="Replied - no"),"",IF(TODAY()&gt;I183,"OVERDUE",""))</f>
        <v/>
      </c>
      <c r="K183" s="7" t="n"/>
    </row>
    <row r="184">
      <c r="A184" s="7" t="n"/>
      <c r="B184" s="7" t="n"/>
      <c r="C184" s="7" t="n"/>
      <c r="D184" s="7" t="n"/>
      <c r="E184" s="7" t="n"/>
      <c r="F184" s="7" t="n"/>
      <c r="G184" s="7" t="n"/>
      <c r="H184" s="7" t="n"/>
      <c r="I184" s="7" t="n"/>
      <c r="J184" s="9">
        <f>IF(OR(I184="",H184="Opted out",H184="Replied - no"),"",IF(TODAY()&gt;I184,"OVERDUE",""))</f>
        <v/>
      </c>
      <c r="K184" s="7" t="n"/>
    </row>
    <row r="185">
      <c r="A185" s="7" t="n"/>
      <c r="B185" s="7" t="n"/>
      <c r="C185" s="7" t="n"/>
      <c r="D185" s="7" t="n"/>
      <c r="E185" s="7" t="n"/>
      <c r="F185" s="7" t="n"/>
      <c r="G185" s="7" t="n"/>
      <c r="H185" s="7" t="n"/>
      <c r="I185" s="7" t="n"/>
      <c r="J185" s="9">
        <f>IF(OR(I185="",H185="Opted out",H185="Replied - no"),"",IF(TODAY()&gt;I185,"OVERDUE",""))</f>
        <v/>
      </c>
      <c r="K185" s="7" t="n"/>
    </row>
    <row r="186">
      <c r="A186" s="7" t="n"/>
      <c r="B186" s="7" t="n"/>
      <c r="C186" s="7" t="n"/>
      <c r="D186" s="7" t="n"/>
      <c r="E186" s="7" t="n"/>
      <c r="F186" s="7" t="n"/>
      <c r="G186" s="7" t="n"/>
      <c r="H186" s="7" t="n"/>
      <c r="I186" s="7" t="n"/>
      <c r="J186" s="9">
        <f>IF(OR(I186="",H186="Opted out",H186="Replied - no"),"",IF(TODAY()&gt;I186,"OVERDUE",""))</f>
        <v/>
      </c>
      <c r="K186" s="7" t="n"/>
    </row>
    <row r="187">
      <c r="A187" s="7" t="n"/>
      <c r="B187" s="7" t="n"/>
      <c r="C187" s="7" t="n"/>
      <c r="D187" s="7" t="n"/>
      <c r="E187" s="7" t="n"/>
      <c r="F187" s="7" t="n"/>
      <c r="G187" s="7" t="n"/>
      <c r="H187" s="7" t="n"/>
      <c r="I187" s="7" t="n"/>
      <c r="J187" s="9">
        <f>IF(OR(I187="",H187="Opted out",H187="Replied - no"),"",IF(TODAY()&gt;I187,"OVERDUE",""))</f>
        <v/>
      </c>
      <c r="K187" s="7" t="n"/>
    </row>
    <row r="188">
      <c r="A188" s="7" t="n"/>
      <c r="B188" s="7" t="n"/>
      <c r="C188" s="7" t="n"/>
      <c r="D188" s="7" t="n"/>
      <c r="E188" s="7" t="n"/>
      <c r="F188" s="7" t="n"/>
      <c r="G188" s="7" t="n"/>
      <c r="H188" s="7" t="n"/>
      <c r="I188" s="7" t="n"/>
      <c r="J188" s="9">
        <f>IF(OR(I188="",H188="Opted out",H188="Replied - no"),"",IF(TODAY()&gt;I188,"OVERDUE",""))</f>
        <v/>
      </c>
      <c r="K188" s="7" t="n"/>
    </row>
    <row r="189">
      <c r="A189" s="7" t="n"/>
      <c r="B189" s="7" t="n"/>
      <c r="C189" s="7" t="n"/>
      <c r="D189" s="7" t="n"/>
      <c r="E189" s="7" t="n"/>
      <c r="F189" s="7" t="n"/>
      <c r="G189" s="7" t="n"/>
      <c r="H189" s="7" t="n"/>
      <c r="I189" s="7" t="n"/>
      <c r="J189" s="9">
        <f>IF(OR(I189="",H189="Opted out",H189="Replied - no"),"",IF(TODAY()&gt;I189,"OVERDUE",""))</f>
        <v/>
      </c>
      <c r="K189" s="7" t="n"/>
    </row>
    <row r="190">
      <c r="A190" s="7" t="n"/>
      <c r="B190" s="7" t="n"/>
      <c r="C190" s="7" t="n"/>
      <c r="D190" s="7" t="n"/>
      <c r="E190" s="7" t="n"/>
      <c r="F190" s="7" t="n"/>
      <c r="G190" s="7" t="n"/>
      <c r="H190" s="7" t="n"/>
      <c r="I190" s="7" t="n"/>
      <c r="J190" s="9">
        <f>IF(OR(I190="",H190="Opted out",H190="Replied - no"),"",IF(TODAY()&gt;I190,"OVERDUE",""))</f>
        <v/>
      </c>
      <c r="K190" s="7" t="n"/>
    </row>
    <row r="191">
      <c r="A191" s="7" t="n"/>
      <c r="B191" s="7" t="n"/>
      <c r="C191" s="7" t="n"/>
      <c r="D191" s="7" t="n"/>
      <c r="E191" s="7" t="n"/>
      <c r="F191" s="7" t="n"/>
      <c r="G191" s="7" t="n"/>
      <c r="H191" s="7" t="n"/>
      <c r="I191" s="7" t="n"/>
      <c r="J191" s="9">
        <f>IF(OR(I191="",H191="Opted out",H191="Replied - no"),"",IF(TODAY()&gt;I191,"OVERDUE",""))</f>
        <v/>
      </c>
      <c r="K191" s="7" t="n"/>
    </row>
    <row r="192">
      <c r="A192" s="7" t="n"/>
      <c r="B192" s="7" t="n"/>
      <c r="C192" s="7" t="n"/>
      <c r="D192" s="7" t="n"/>
      <c r="E192" s="7" t="n"/>
      <c r="F192" s="7" t="n"/>
      <c r="G192" s="7" t="n"/>
      <c r="H192" s="7" t="n"/>
      <c r="I192" s="7" t="n"/>
      <c r="J192" s="9">
        <f>IF(OR(I192="",H192="Opted out",H192="Replied - no"),"",IF(TODAY()&gt;I192,"OVERDUE",""))</f>
        <v/>
      </c>
      <c r="K192" s="7" t="n"/>
    </row>
    <row r="193">
      <c r="A193" s="7" t="n"/>
      <c r="B193" s="7" t="n"/>
      <c r="C193" s="7" t="n"/>
      <c r="D193" s="7" t="n"/>
      <c r="E193" s="7" t="n"/>
      <c r="F193" s="7" t="n"/>
      <c r="G193" s="7" t="n"/>
      <c r="H193" s="7" t="n"/>
      <c r="I193" s="7" t="n"/>
      <c r="J193" s="9">
        <f>IF(OR(I193="",H193="Opted out",H193="Replied - no"),"",IF(TODAY()&gt;I193,"OVERDUE",""))</f>
        <v/>
      </c>
      <c r="K193" s="7" t="n"/>
    </row>
    <row r="194">
      <c r="A194" s="7" t="n"/>
      <c r="B194" s="7" t="n"/>
      <c r="C194" s="7" t="n"/>
      <c r="D194" s="7" t="n"/>
      <c r="E194" s="7" t="n"/>
      <c r="F194" s="7" t="n"/>
      <c r="G194" s="7" t="n"/>
      <c r="H194" s="7" t="n"/>
      <c r="I194" s="7" t="n"/>
      <c r="J194" s="9">
        <f>IF(OR(I194="",H194="Opted out",H194="Replied - no"),"",IF(TODAY()&gt;I194,"OVERDUE",""))</f>
        <v/>
      </c>
      <c r="K194" s="7" t="n"/>
    </row>
    <row r="195">
      <c r="A195" s="7" t="n"/>
      <c r="B195" s="7" t="n"/>
      <c r="C195" s="7" t="n"/>
      <c r="D195" s="7" t="n"/>
      <c r="E195" s="7" t="n"/>
      <c r="F195" s="7" t="n"/>
      <c r="G195" s="7" t="n"/>
      <c r="H195" s="7" t="n"/>
      <c r="I195" s="7" t="n"/>
      <c r="J195" s="9">
        <f>IF(OR(I195="",H195="Opted out",H195="Replied - no"),"",IF(TODAY()&gt;I195,"OVERDUE",""))</f>
        <v/>
      </c>
      <c r="K195" s="7" t="n"/>
    </row>
    <row r="196">
      <c r="A196" s="7" t="n"/>
      <c r="B196" s="7" t="n"/>
      <c r="C196" s="7" t="n"/>
      <c r="D196" s="7" t="n"/>
      <c r="E196" s="7" t="n"/>
      <c r="F196" s="7" t="n"/>
      <c r="G196" s="7" t="n"/>
      <c r="H196" s="7" t="n"/>
      <c r="I196" s="7" t="n"/>
      <c r="J196" s="9">
        <f>IF(OR(I196="",H196="Opted out",H196="Replied - no"),"",IF(TODAY()&gt;I196,"OVERDUE",""))</f>
        <v/>
      </c>
      <c r="K196" s="7" t="n"/>
    </row>
    <row r="197">
      <c r="A197" s="7" t="n"/>
      <c r="B197" s="7" t="n"/>
      <c r="C197" s="7" t="n"/>
      <c r="D197" s="7" t="n"/>
      <c r="E197" s="7" t="n"/>
      <c r="F197" s="7" t="n"/>
      <c r="G197" s="7" t="n"/>
      <c r="H197" s="7" t="n"/>
      <c r="I197" s="7" t="n"/>
      <c r="J197" s="9">
        <f>IF(OR(I197="",H197="Opted out",H197="Replied - no"),"",IF(TODAY()&gt;I197,"OVERDUE",""))</f>
        <v/>
      </c>
      <c r="K197" s="7" t="n"/>
    </row>
    <row r="198">
      <c r="A198" s="7" t="n"/>
      <c r="B198" s="7" t="n"/>
      <c r="C198" s="7" t="n"/>
      <c r="D198" s="7" t="n"/>
      <c r="E198" s="7" t="n"/>
      <c r="F198" s="7" t="n"/>
      <c r="G198" s="7" t="n"/>
      <c r="H198" s="7" t="n"/>
      <c r="I198" s="7" t="n"/>
      <c r="J198" s="9">
        <f>IF(OR(I198="",H198="Opted out",H198="Replied - no"),"",IF(TODAY()&gt;I198,"OVERDUE",""))</f>
        <v/>
      </c>
      <c r="K198" s="7" t="n"/>
    </row>
    <row r="199">
      <c r="A199" s="7" t="n"/>
      <c r="B199" s="7" t="n"/>
      <c r="C199" s="7" t="n"/>
      <c r="D199" s="7" t="n"/>
      <c r="E199" s="7" t="n"/>
      <c r="F199" s="7" t="n"/>
      <c r="G199" s="7" t="n"/>
      <c r="H199" s="7" t="n"/>
      <c r="I199" s="7" t="n"/>
      <c r="J199" s="9">
        <f>IF(OR(I199="",H199="Opted out",H199="Replied - no"),"",IF(TODAY()&gt;I199,"OVERDUE",""))</f>
        <v/>
      </c>
      <c r="K199" s="7" t="n"/>
    </row>
    <row r="200">
      <c r="A200" s="7" t="n"/>
      <c r="B200" s="7" t="n"/>
      <c r="C200" s="7" t="n"/>
      <c r="D200" s="7" t="n"/>
      <c r="E200" s="7" t="n"/>
      <c r="F200" s="7" t="n"/>
      <c r="G200" s="7" t="n"/>
      <c r="H200" s="7" t="n"/>
      <c r="I200" s="7" t="n"/>
      <c r="J200" s="9">
        <f>IF(OR(I200="",H200="Opted out",H200="Replied - no"),"",IF(TODAY()&gt;I200,"OVERDUE",""))</f>
        <v/>
      </c>
      <c r="K200" s="7" t="n"/>
    </row>
    <row r="201">
      <c r="A201" s="7" t="n"/>
      <c r="B201" s="7" t="n"/>
      <c r="C201" s="7" t="n"/>
      <c r="D201" s="7" t="n"/>
      <c r="E201" s="7" t="n"/>
      <c r="F201" s="7" t="n"/>
      <c r="G201" s="7" t="n"/>
      <c r="H201" s="7" t="n"/>
      <c r="I201" s="7" t="n"/>
      <c r="J201" s="9">
        <f>IF(OR(I201="",H201="Opted out",H201="Replied - no"),"",IF(TODAY()&gt;I201,"OVERDUE",""))</f>
        <v/>
      </c>
      <c r="K201" s="7" t="n"/>
    </row>
    <row r="202">
      <c r="A202" s="7" t="n"/>
      <c r="B202" s="7" t="n"/>
      <c r="C202" s="7" t="n"/>
      <c r="D202" s="7" t="n"/>
      <c r="E202" s="7" t="n"/>
      <c r="F202" s="7" t="n"/>
      <c r="G202" s="7" t="n"/>
      <c r="H202" s="7" t="n"/>
      <c r="I202" s="7" t="n"/>
      <c r="J202" s="9">
        <f>IF(OR(I202="",H202="Opted out",H202="Replied - no"),"",IF(TODAY()&gt;I202,"OVERDUE",""))</f>
        <v/>
      </c>
      <c r="K202" s="7" t="n"/>
    </row>
    <row r="203">
      <c r="A203" s="7" t="n"/>
      <c r="B203" s="7" t="n"/>
      <c r="C203" s="7" t="n"/>
      <c r="D203" s="7" t="n"/>
      <c r="E203" s="7" t="n"/>
      <c r="F203" s="7" t="n"/>
      <c r="G203" s="7" t="n"/>
      <c r="H203" s="7" t="n"/>
      <c r="I203" s="7" t="n"/>
      <c r="J203" s="9">
        <f>IF(OR(I203="",H203="Opted out",H203="Replied - no"),"",IF(TODAY()&gt;I203,"OVERDUE",""))</f>
        <v/>
      </c>
      <c r="K203" s="7" t="n"/>
    </row>
    <row r="204">
      <c r="A204" s="7" t="n"/>
      <c r="B204" s="7" t="n"/>
      <c r="C204" s="7" t="n"/>
      <c r="D204" s="7" t="n"/>
      <c r="E204" s="7" t="n"/>
      <c r="F204" s="7" t="n"/>
      <c r="G204" s="7" t="n"/>
      <c r="H204" s="7" t="n"/>
      <c r="I204" s="7" t="n"/>
      <c r="J204" s="9">
        <f>IF(OR(I204="",H204="Opted out",H204="Replied - no"),"",IF(TODAY()&gt;I204,"OVERDUE",""))</f>
        <v/>
      </c>
      <c r="K204" s="7" t="n"/>
    </row>
    <row r="205">
      <c r="A205" s="7" t="n"/>
      <c r="B205" s="7" t="n"/>
      <c r="C205" s="7" t="n"/>
      <c r="D205" s="7" t="n"/>
      <c r="E205" s="7" t="n"/>
      <c r="F205" s="7" t="n"/>
      <c r="G205" s="7" t="n"/>
      <c r="H205" s="7" t="n"/>
      <c r="I205" s="7" t="n"/>
      <c r="J205" s="9">
        <f>IF(OR(I205="",H205="Opted out",H205="Replied - no"),"",IF(TODAY()&gt;I205,"OVERDUE",""))</f>
        <v/>
      </c>
      <c r="K205" s="7" t="n"/>
    </row>
    <row r="206">
      <c r="A206" s="7" t="n"/>
      <c r="B206" s="7" t="n"/>
      <c r="C206" s="7" t="n"/>
      <c r="D206" s="7" t="n"/>
      <c r="E206" s="7" t="n"/>
      <c r="F206" s="7" t="n"/>
      <c r="G206" s="7" t="n"/>
      <c r="H206" s="7" t="n"/>
      <c r="I206" s="7" t="n"/>
      <c r="J206" s="9">
        <f>IF(OR(I206="",H206="Opted out",H206="Replied - no"),"",IF(TODAY()&gt;I206,"OVERDUE",""))</f>
        <v/>
      </c>
      <c r="K206" s="7" t="n"/>
    </row>
    <row r="207">
      <c r="A207" s="7" t="n"/>
      <c r="B207" s="7" t="n"/>
      <c r="C207" s="7" t="n"/>
      <c r="D207" s="7" t="n"/>
      <c r="E207" s="7" t="n"/>
      <c r="F207" s="7" t="n"/>
      <c r="G207" s="7" t="n"/>
      <c r="H207" s="7" t="n"/>
      <c r="I207" s="7" t="n"/>
      <c r="J207" s="9">
        <f>IF(OR(I207="",H207="Opted out",H207="Replied - no"),"",IF(TODAY()&gt;I207,"OVERDUE",""))</f>
        <v/>
      </c>
      <c r="K207" s="7" t="n"/>
    </row>
    <row r="208">
      <c r="A208" s="7" t="n"/>
      <c r="B208" s="7" t="n"/>
      <c r="C208" s="7" t="n"/>
      <c r="D208" s="7" t="n"/>
      <c r="E208" s="7" t="n"/>
      <c r="F208" s="7" t="n"/>
      <c r="G208" s="7" t="n"/>
      <c r="H208" s="7" t="n"/>
      <c r="I208" s="7" t="n"/>
      <c r="J208" s="9">
        <f>IF(OR(I208="",H208="Opted out",H208="Replied - no"),"",IF(TODAY()&gt;I208,"OVERDUE",""))</f>
        <v/>
      </c>
      <c r="K208" s="7" t="n"/>
    </row>
    <row r="209">
      <c r="A209" s="7" t="n"/>
      <c r="B209" s="7" t="n"/>
      <c r="C209" s="7" t="n"/>
      <c r="D209" s="7" t="n"/>
      <c r="E209" s="7" t="n"/>
      <c r="F209" s="7" t="n"/>
      <c r="G209" s="7" t="n"/>
      <c r="H209" s="7" t="n"/>
      <c r="I209" s="7" t="n"/>
      <c r="J209" s="9">
        <f>IF(OR(I209="",H209="Opted out",H209="Replied - no"),"",IF(TODAY()&gt;I209,"OVERDUE",""))</f>
        <v/>
      </c>
      <c r="K209" s="7" t="n"/>
    </row>
    <row r="210">
      <c r="A210" s="7" t="n"/>
      <c r="B210" s="7" t="n"/>
      <c r="C210" s="7" t="n"/>
      <c r="D210" s="7" t="n"/>
      <c r="E210" s="7" t="n"/>
      <c r="F210" s="7" t="n"/>
      <c r="G210" s="7" t="n"/>
      <c r="H210" s="7" t="n"/>
      <c r="I210" s="7" t="n"/>
      <c r="J210" s="9">
        <f>IF(OR(I210="",H210="Opted out",H210="Replied - no"),"",IF(TODAY()&gt;I210,"OVERDUE",""))</f>
        <v/>
      </c>
      <c r="K210" s="7" t="n"/>
    </row>
    <row r="211">
      <c r="A211" s="7" t="n"/>
      <c r="B211" s="7" t="n"/>
      <c r="C211" s="7" t="n"/>
      <c r="D211" s="7" t="n"/>
      <c r="E211" s="7" t="n"/>
      <c r="F211" s="7" t="n"/>
      <c r="G211" s="7" t="n"/>
      <c r="H211" s="7" t="n"/>
      <c r="I211" s="7" t="n"/>
      <c r="J211" s="9">
        <f>IF(OR(I211="",H211="Opted out",H211="Replied - no"),"",IF(TODAY()&gt;I211,"OVERDUE",""))</f>
        <v/>
      </c>
      <c r="K211" s="7" t="n"/>
    </row>
    <row r="212">
      <c r="A212" s="7" t="n"/>
      <c r="B212" s="7" t="n"/>
      <c r="C212" s="7" t="n"/>
      <c r="D212" s="7" t="n"/>
      <c r="E212" s="7" t="n"/>
      <c r="F212" s="7" t="n"/>
      <c r="G212" s="7" t="n"/>
      <c r="H212" s="7" t="n"/>
      <c r="I212" s="7" t="n"/>
      <c r="J212" s="9">
        <f>IF(OR(I212="",H212="Opted out",H212="Replied - no"),"",IF(TODAY()&gt;I212,"OVERDUE",""))</f>
        <v/>
      </c>
      <c r="K212" s="7" t="n"/>
    </row>
    <row r="213">
      <c r="A213" s="7" t="n"/>
      <c r="B213" s="7" t="n"/>
      <c r="C213" s="7" t="n"/>
      <c r="D213" s="7" t="n"/>
      <c r="E213" s="7" t="n"/>
      <c r="F213" s="7" t="n"/>
      <c r="G213" s="7" t="n"/>
      <c r="H213" s="7" t="n"/>
      <c r="I213" s="7" t="n"/>
      <c r="J213" s="9">
        <f>IF(OR(I213="",H213="Opted out",H213="Replied - no"),"",IF(TODAY()&gt;I213,"OVERDUE",""))</f>
        <v/>
      </c>
      <c r="K213" s="7" t="n"/>
    </row>
    <row r="214">
      <c r="A214" s="7" t="n"/>
      <c r="B214" s="7" t="n"/>
      <c r="C214" s="7" t="n"/>
      <c r="D214" s="7" t="n"/>
      <c r="E214" s="7" t="n"/>
      <c r="F214" s="7" t="n"/>
      <c r="G214" s="7" t="n"/>
      <c r="H214" s="7" t="n"/>
      <c r="I214" s="7" t="n"/>
      <c r="J214" s="9">
        <f>IF(OR(I214="",H214="Opted out",H214="Replied - no"),"",IF(TODAY()&gt;I214,"OVERDUE",""))</f>
        <v/>
      </c>
      <c r="K214" s="7" t="n"/>
    </row>
    <row r="215">
      <c r="A215" s="7" t="n"/>
      <c r="B215" s="7" t="n"/>
      <c r="C215" s="7" t="n"/>
      <c r="D215" s="7" t="n"/>
      <c r="E215" s="7" t="n"/>
      <c r="F215" s="7" t="n"/>
      <c r="G215" s="7" t="n"/>
      <c r="H215" s="7" t="n"/>
      <c r="I215" s="7" t="n"/>
      <c r="J215" s="9">
        <f>IF(OR(I215="",H215="Opted out",H215="Replied - no"),"",IF(TODAY()&gt;I215,"OVERDUE",""))</f>
        <v/>
      </c>
      <c r="K215" s="7" t="n"/>
    </row>
    <row r="216">
      <c r="A216" s="7" t="n"/>
      <c r="B216" s="7" t="n"/>
      <c r="C216" s="7" t="n"/>
      <c r="D216" s="7" t="n"/>
      <c r="E216" s="7" t="n"/>
      <c r="F216" s="7" t="n"/>
      <c r="G216" s="7" t="n"/>
      <c r="H216" s="7" t="n"/>
      <c r="I216" s="7" t="n"/>
      <c r="J216" s="9">
        <f>IF(OR(I216="",H216="Opted out",H216="Replied - no"),"",IF(TODAY()&gt;I216,"OVERDUE",""))</f>
        <v/>
      </c>
      <c r="K216" s="7" t="n"/>
    </row>
    <row r="217">
      <c r="A217" s="7" t="n"/>
      <c r="B217" s="7" t="n"/>
      <c r="C217" s="7" t="n"/>
      <c r="D217" s="7" t="n"/>
      <c r="E217" s="7" t="n"/>
      <c r="F217" s="7" t="n"/>
      <c r="G217" s="7" t="n"/>
      <c r="H217" s="7" t="n"/>
      <c r="I217" s="7" t="n"/>
      <c r="J217" s="9">
        <f>IF(OR(I217="",H217="Opted out",H217="Replied - no"),"",IF(TODAY()&gt;I217,"OVERDUE",""))</f>
        <v/>
      </c>
      <c r="K217" s="7" t="n"/>
    </row>
    <row r="218">
      <c r="A218" s="7" t="n"/>
      <c r="B218" s="7" t="n"/>
      <c r="C218" s="7" t="n"/>
      <c r="D218" s="7" t="n"/>
      <c r="E218" s="7" t="n"/>
      <c r="F218" s="7" t="n"/>
      <c r="G218" s="7" t="n"/>
      <c r="H218" s="7" t="n"/>
      <c r="I218" s="7" t="n"/>
      <c r="J218" s="9">
        <f>IF(OR(I218="",H218="Opted out",H218="Replied - no"),"",IF(TODAY()&gt;I218,"OVERDUE",""))</f>
        <v/>
      </c>
      <c r="K218" s="7" t="n"/>
    </row>
    <row r="219">
      <c r="A219" s="7" t="n"/>
      <c r="B219" s="7" t="n"/>
      <c r="C219" s="7" t="n"/>
      <c r="D219" s="7" t="n"/>
      <c r="E219" s="7" t="n"/>
      <c r="F219" s="7" t="n"/>
      <c r="G219" s="7" t="n"/>
      <c r="H219" s="7" t="n"/>
      <c r="I219" s="7" t="n"/>
      <c r="J219" s="9">
        <f>IF(OR(I219="",H219="Opted out",H219="Replied - no"),"",IF(TODAY()&gt;I219,"OVERDUE",""))</f>
        <v/>
      </c>
      <c r="K219" s="7" t="n"/>
    </row>
    <row r="220">
      <c r="A220" s="7" t="n"/>
      <c r="B220" s="7" t="n"/>
      <c r="C220" s="7" t="n"/>
      <c r="D220" s="7" t="n"/>
      <c r="E220" s="7" t="n"/>
      <c r="F220" s="7" t="n"/>
      <c r="G220" s="7" t="n"/>
      <c r="H220" s="7" t="n"/>
      <c r="I220" s="7" t="n"/>
      <c r="J220" s="9">
        <f>IF(OR(I220="",H220="Opted out",H220="Replied - no"),"",IF(TODAY()&gt;I220,"OVERDUE",""))</f>
        <v/>
      </c>
      <c r="K220" s="7" t="n"/>
    </row>
    <row r="221">
      <c r="A221" s="7" t="n"/>
      <c r="B221" s="7" t="n"/>
      <c r="C221" s="7" t="n"/>
      <c r="D221" s="7" t="n"/>
      <c r="E221" s="7" t="n"/>
      <c r="F221" s="7" t="n"/>
      <c r="G221" s="7" t="n"/>
      <c r="H221" s="7" t="n"/>
      <c r="I221" s="7" t="n"/>
      <c r="J221" s="9">
        <f>IF(OR(I221="",H221="Opted out",H221="Replied - no"),"",IF(TODAY()&gt;I221,"OVERDUE",""))</f>
        <v/>
      </c>
      <c r="K221" s="7" t="n"/>
    </row>
    <row r="222">
      <c r="A222" s="7" t="n"/>
      <c r="B222" s="7" t="n"/>
      <c r="C222" s="7" t="n"/>
      <c r="D222" s="7" t="n"/>
      <c r="E222" s="7" t="n"/>
      <c r="F222" s="7" t="n"/>
      <c r="G222" s="7" t="n"/>
      <c r="H222" s="7" t="n"/>
      <c r="I222" s="7" t="n"/>
      <c r="J222" s="9">
        <f>IF(OR(I222="",H222="Opted out",H222="Replied - no"),"",IF(TODAY()&gt;I222,"OVERDUE",""))</f>
        <v/>
      </c>
      <c r="K222" s="7" t="n"/>
    </row>
    <row r="223">
      <c r="A223" s="7" t="n"/>
      <c r="B223" s="7" t="n"/>
      <c r="C223" s="7" t="n"/>
      <c r="D223" s="7" t="n"/>
      <c r="E223" s="7" t="n"/>
      <c r="F223" s="7" t="n"/>
      <c r="G223" s="7" t="n"/>
      <c r="H223" s="7" t="n"/>
      <c r="I223" s="7" t="n"/>
      <c r="J223" s="9">
        <f>IF(OR(I223="",H223="Opted out",H223="Replied - no"),"",IF(TODAY()&gt;I223,"OVERDUE",""))</f>
        <v/>
      </c>
      <c r="K223" s="7" t="n"/>
    </row>
    <row r="224">
      <c r="A224" s="7" t="n"/>
      <c r="B224" s="7" t="n"/>
      <c r="C224" s="7" t="n"/>
      <c r="D224" s="7" t="n"/>
      <c r="E224" s="7" t="n"/>
      <c r="F224" s="7" t="n"/>
      <c r="G224" s="7" t="n"/>
      <c r="H224" s="7" t="n"/>
      <c r="I224" s="7" t="n"/>
      <c r="J224" s="9">
        <f>IF(OR(I224="",H224="Opted out",H224="Replied - no"),"",IF(TODAY()&gt;I224,"OVERDUE",""))</f>
        <v/>
      </c>
      <c r="K224" s="7" t="n"/>
    </row>
    <row r="225">
      <c r="A225" s="7" t="n"/>
      <c r="B225" s="7" t="n"/>
      <c r="C225" s="7" t="n"/>
      <c r="D225" s="7" t="n"/>
      <c r="E225" s="7" t="n"/>
      <c r="F225" s="7" t="n"/>
      <c r="G225" s="7" t="n"/>
      <c r="H225" s="7" t="n"/>
      <c r="I225" s="7" t="n"/>
      <c r="J225" s="9">
        <f>IF(OR(I225="",H225="Opted out",H225="Replied - no"),"",IF(TODAY()&gt;I225,"OVERDUE",""))</f>
        <v/>
      </c>
      <c r="K225" s="7" t="n"/>
    </row>
    <row r="226">
      <c r="A226" s="7" t="n"/>
      <c r="B226" s="7" t="n"/>
      <c r="C226" s="7" t="n"/>
      <c r="D226" s="7" t="n"/>
      <c r="E226" s="7" t="n"/>
      <c r="F226" s="7" t="n"/>
      <c r="G226" s="7" t="n"/>
      <c r="H226" s="7" t="n"/>
      <c r="I226" s="7" t="n"/>
      <c r="J226" s="9">
        <f>IF(OR(I226="",H226="Opted out",H226="Replied - no"),"",IF(TODAY()&gt;I226,"OVERDUE",""))</f>
        <v/>
      </c>
      <c r="K226" s="7" t="n"/>
    </row>
    <row r="227">
      <c r="A227" s="7" t="n"/>
      <c r="B227" s="7" t="n"/>
      <c r="C227" s="7" t="n"/>
      <c r="D227" s="7" t="n"/>
      <c r="E227" s="7" t="n"/>
      <c r="F227" s="7" t="n"/>
      <c r="G227" s="7" t="n"/>
      <c r="H227" s="7" t="n"/>
      <c r="I227" s="7" t="n"/>
      <c r="J227" s="9">
        <f>IF(OR(I227="",H227="Opted out",H227="Replied - no"),"",IF(TODAY()&gt;I227,"OVERDUE",""))</f>
        <v/>
      </c>
      <c r="K227" s="7" t="n"/>
    </row>
    <row r="228">
      <c r="A228" s="7" t="n"/>
      <c r="B228" s="7" t="n"/>
      <c r="C228" s="7" t="n"/>
      <c r="D228" s="7" t="n"/>
      <c r="E228" s="7" t="n"/>
      <c r="F228" s="7" t="n"/>
      <c r="G228" s="7" t="n"/>
      <c r="H228" s="7" t="n"/>
      <c r="I228" s="7" t="n"/>
      <c r="J228" s="9">
        <f>IF(OR(I228="",H228="Opted out",H228="Replied - no"),"",IF(TODAY()&gt;I228,"OVERDUE",""))</f>
        <v/>
      </c>
      <c r="K228" s="7" t="n"/>
    </row>
    <row r="229">
      <c r="A229" s="7" t="n"/>
      <c r="B229" s="7" t="n"/>
      <c r="C229" s="7" t="n"/>
      <c r="D229" s="7" t="n"/>
      <c r="E229" s="7" t="n"/>
      <c r="F229" s="7" t="n"/>
      <c r="G229" s="7" t="n"/>
      <c r="H229" s="7" t="n"/>
      <c r="I229" s="7" t="n"/>
      <c r="J229" s="9">
        <f>IF(OR(I229="",H229="Opted out",H229="Replied - no"),"",IF(TODAY()&gt;I229,"OVERDUE",""))</f>
        <v/>
      </c>
      <c r="K229" s="7" t="n"/>
    </row>
    <row r="230">
      <c r="A230" s="7" t="n"/>
      <c r="B230" s="7" t="n"/>
      <c r="C230" s="7" t="n"/>
      <c r="D230" s="7" t="n"/>
      <c r="E230" s="7" t="n"/>
      <c r="F230" s="7" t="n"/>
      <c r="G230" s="7" t="n"/>
      <c r="H230" s="7" t="n"/>
      <c r="I230" s="7" t="n"/>
      <c r="J230" s="9">
        <f>IF(OR(I230="",H230="Opted out",H230="Replied - no"),"",IF(TODAY()&gt;I230,"OVERDUE",""))</f>
        <v/>
      </c>
      <c r="K230" s="7" t="n"/>
    </row>
    <row r="231">
      <c r="A231" s="7" t="n"/>
      <c r="B231" s="7" t="n"/>
      <c r="C231" s="7" t="n"/>
      <c r="D231" s="7" t="n"/>
      <c r="E231" s="7" t="n"/>
      <c r="F231" s="7" t="n"/>
      <c r="G231" s="7" t="n"/>
      <c r="H231" s="7" t="n"/>
      <c r="I231" s="7" t="n"/>
      <c r="J231" s="9">
        <f>IF(OR(I231="",H231="Opted out",H231="Replied - no"),"",IF(TODAY()&gt;I231,"OVERDUE",""))</f>
        <v/>
      </c>
      <c r="K231" s="7" t="n"/>
    </row>
    <row r="232">
      <c r="A232" s="7" t="n"/>
      <c r="B232" s="7" t="n"/>
      <c r="C232" s="7" t="n"/>
      <c r="D232" s="7" t="n"/>
      <c r="E232" s="7" t="n"/>
      <c r="F232" s="7" t="n"/>
      <c r="G232" s="7" t="n"/>
      <c r="H232" s="7" t="n"/>
      <c r="I232" s="7" t="n"/>
      <c r="J232" s="9">
        <f>IF(OR(I232="",H232="Opted out",H232="Replied - no"),"",IF(TODAY()&gt;I232,"OVERDUE",""))</f>
        <v/>
      </c>
      <c r="K232" s="7" t="n"/>
    </row>
    <row r="233">
      <c r="A233" s="7" t="n"/>
      <c r="B233" s="7" t="n"/>
      <c r="C233" s="7" t="n"/>
      <c r="D233" s="7" t="n"/>
      <c r="E233" s="7" t="n"/>
      <c r="F233" s="7" t="n"/>
      <c r="G233" s="7" t="n"/>
      <c r="H233" s="7" t="n"/>
      <c r="I233" s="7" t="n"/>
      <c r="J233" s="9">
        <f>IF(OR(I233="",H233="Opted out",H233="Replied - no"),"",IF(TODAY()&gt;I233,"OVERDUE",""))</f>
        <v/>
      </c>
      <c r="K233" s="7" t="n"/>
    </row>
    <row r="234">
      <c r="A234" s="7" t="n"/>
      <c r="B234" s="7" t="n"/>
      <c r="C234" s="7" t="n"/>
      <c r="D234" s="7" t="n"/>
      <c r="E234" s="7" t="n"/>
      <c r="F234" s="7" t="n"/>
      <c r="G234" s="7" t="n"/>
      <c r="H234" s="7" t="n"/>
      <c r="I234" s="7" t="n"/>
      <c r="J234" s="9">
        <f>IF(OR(I234="",H234="Opted out",H234="Replied - no"),"",IF(TODAY()&gt;I234,"OVERDUE",""))</f>
        <v/>
      </c>
      <c r="K234" s="7" t="n"/>
    </row>
    <row r="235">
      <c r="A235" s="7" t="n"/>
      <c r="B235" s="7" t="n"/>
      <c r="C235" s="7" t="n"/>
      <c r="D235" s="7" t="n"/>
      <c r="E235" s="7" t="n"/>
      <c r="F235" s="7" t="n"/>
      <c r="G235" s="7" t="n"/>
      <c r="H235" s="7" t="n"/>
      <c r="I235" s="7" t="n"/>
      <c r="J235" s="9">
        <f>IF(OR(I235="",H235="Opted out",H235="Replied - no"),"",IF(TODAY()&gt;I235,"OVERDUE",""))</f>
        <v/>
      </c>
      <c r="K235" s="7" t="n"/>
    </row>
    <row r="236">
      <c r="A236" s="7" t="n"/>
      <c r="B236" s="7" t="n"/>
      <c r="C236" s="7" t="n"/>
      <c r="D236" s="7" t="n"/>
      <c r="E236" s="7" t="n"/>
      <c r="F236" s="7" t="n"/>
      <c r="G236" s="7" t="n"/>
      <c r="H236" s="7" t="n"/>
      <c r="I236" s="7" t="n"/>
      <c r="J236" s="9">
        <f>IF(OR(I236="",H236="Opted out",H236="Replied - no"),"",IF(TODAY()&gt;I236,"OVERDUE",""))</f>
        <v/>
      </c>
      <c r="K236" s="7" t="n"/>
    </row>
    <row r="237">
      <c r="A237" s="7" t="n"/>
      <c r="B237" s="7" t="n"/>
      <c r="C237" s="7" t="n"/>
      <c r="D237" s="7" t="n"/>
      <c r="E237" s="7" t="n"/>
      <c r="F237" s="7" t="n"/>
      <c r="G237" s="7" t="n"/>
      <c r="H237" s="7" t="n"/>
      <c r="I237" s="7" t="n"/>
      <c r="J237" s="9">
        <f>IF(OR(I237="",H237="Opted out",H237="Replied - no"),"",IF(TODAY()&gt;I237,"OVERDUE",""))</f>
        <v/>
      </c>
      <c r="K237" s="7" t="n"/>
    </row>
    <row r="238">
      <c r="A238" s="7" t="n"/>
      <c r="B238" s="7" t="n"/>
      <c r="C238" s="7" t="n"/>
      <c r="D238" s="7" t="n"/>
      <c r="E238" s="7" t="n"/>
      <c r="F238" s="7" t="n"/>
      <c r="G238" s="7" t="n"/>
      <c r="H238" s="7" t="n"/>
      <c r="I238" s="7" t="n"/>
      <c r="J238" s="9">
        <f>IF(OR(I238="",H238="Opted out",H238="Replied - no"),"",IF(TODAY()&gt;I238,"OVERDUE",""))</f>
        <v/>
      </c>
      <c r="K238" s="7" t="n"/>
    </row>
    <row r="239">
      <c r="A239" s="7" t="n"/>
      <c r="B239" s="7" t="n"/>
      <c r="C239" s="7" t="n"/>
      <c r="D239" s="7" t="n"/>
      <c r="E239" s="7" t="n"/>
      <c r="F239" s="7" t="n"/>
      <c r="G239" s="7" t="n"/>
      <c r="H239" s="7" t="n"/>
      <c r="I239" s="7" t="n"/>
      <c r="J239" s="9">
        <f>IF(OR(I239="",H239="Opted out",H239="Replied - no"),"",IF(TODAY()&gt;I239,"OVERDUE",""))</f>
        <v/>
      </c>
      <c r="K239" s="7" t="n"/>
    </row>
    <row r="240">
      <c r="A240" s="7" t="n"/>
      <c r="B240" s="7" t="n"/>
      <c r="C240" s="7" t="n"/>
      <c r="D240" s="7" t="n"/>
      <c r="E240" s="7" t="n"/>
      <c r="F240" s="7" t="n"/>
      <c r="G240" s="7" t="n"/>
      <c r="H240" s="7" t="n"/>
      <c r="I240" s="7" t="n"/>
      <c r="J240" s="9">
        <f>IF(OR(I240="",H240="Opted out",H240="Replied - no"),"",IF(TODAY()&gt;I240,"OVERDUE",""))</f>
        <v/>
      </c>
      <c r="K240" s="7" t="n"/>
    </row>
    <row r="241">
      <c r="A241" s="7" t="n"/>
      <c r="B241" s="7" t="n"/>
      <c r="C241" s="7" t="n"/>
      <c r="D241" s="7" t="n"/>
      <c r="E241" s="7" t="n"/>
      <c r="F241" s="7" t="n"/>
      <c r="G241" s="7" t="n"/>
      <c r="H241" s="7" t="n"/>
      <c r="I241" s="7" t="n"/>
      <c r="J241" s="9">
        <f>IF(OR(I241="",H241="Opted out",H241="Replied - no"),"",IF(TODAY()&gt;I241,"OVERDUE",""))</f>
        <v/>
      </c>
      <c r="K241" s="7" t="n"/>
    </row>
    <row r="242">
      <c r="A242" s="7" t="n"/>
      <c r="B242" s="7" t="n"/>
      <c r="C242" s="7" t="n"/>
      <c r="D242" s="7" t="n"/>
      <c r="E242" s="7" t="n"/>
      <c r="F242" s="7" t="n"/>
      <c r="G242" s="7" t="n"/>
      <c r="H242" s="7" t="n"/>
      <c r="I242" s="7" t="n"/>
      <c r="J242" s="9">
        <f>IF(OR(I242="",H242="Opted out",H242="Replied - no"),"",IF(TODAY()&gt;I242,"OVERDUE",""))</f>
        <v/>
      </c>
      <c r="K242" s="7" t="n"/>
    </row>
    <row r="243">
      <c r="A243" s="7" t="n"/>
      <c r="B243" s="7" t="n"/>
      <c r="C243" s="7" t="n"/>
      <c r="D243" s="7" t="n"/>
      <c r="E243" s="7" t="n"/>
      <c r="F243" s="7" t="n"/>
      <c r="G243" s="7" t="n"/>
      <c r="H243" s="7" t="n"/>
      <c r="I243" s="7" t="n"/>
      <c r="J243" s="9">
        <f>IF(OR(I243="",H243="Opted out",H243="Replied - no"),"",IF(TODAY()&gt;I243,"OVERDUE",""))</f>
        <v/>
      </c>
      <c r="K243" s="7" t="n"/>
    </row>
    <row r="244">
      <c r="A244" s="7" t="n"/>
      <c r="B244" s="7" t="n"/>
      <c r="C244" s="7" t="n"/>
      <c r="D244" s="7" t="n"/>
      <c r="E244" s="7" t="n"/>
      <c r="F244" s="7" t="n"/>
      <c r="G244" s="7" t="n"/>
      <c r="H244" s="7" t="n"/>
      <c r="I244" s="7" t="n"/>
      <c r="J244" s="9">
        <f>IF(OR(I244="",H244="Opted out",H244="Replied - no"),"",IF(TODAY()&gt;I244,"OVERDUE",""))</f>
        <v/>
      </c>
      <c r="K244" s="7" t="n"/>
    </row>
    <row r="245">
      <c r="A245" s="7" t="n"/>
      <c r="B245" s="7" t="n"/>
      <c r="C245" s="7" t="n"/>
      <c r="D245" s="7" t="n"/>
      <c r="E245" s="7" t="n"/>
      <c r="F245" s="7" t="n"/>
      <c r="G245" s="7" t="n"/>
      <c r="H245" s="7" t="n"/>
      <c r="I245" s="7" t="n"/>
      <c r="J245" s="9">
        <f>IF(OR(I245="",H245="Opted out",H245="Replied - no"),"",IF(TODAY()&gt;I245,"OVERDUE",""))</f>
        <v/>
      </c>
      <c r="K245" s="7" t="n"/>
    </row>
    <row r="246">
      <c r="A246" s="7" t="n"/>
      <c r="B246" s="7" t="n"/>
      <c r="C246" s="7" t="n"/>
      <c r="D246" s="7" t="n"/>
      <c r="E246" s="7" t="n"/>
      <c r="F246" s="7" t="n"/>
      <c r="G246" s="7" t="n"/>
      <c r="H246" s="7" t="n"/>
      <c r="I246" s="7" t="n"/>
      <c r="J246" s="9">
        <f>IF(OR(I246="",H246="Opted out",H246="Replied - no"),"",IF(TODAY()&gt;I246,"OVERDUE",""))</f>
        <v/>
      </c>
      <c r="K246" s="7" t="n"/>
    </row>
    <row r="247">
      <c r="A247" s="7" t="n"/>
      <c r="B247" s="7" t="n"/>
      <c r="C247" s="7" t="n"/>
      <c r="D247" s="7" t="n"/>
      <c r="E247" s="7" t="n"/>
      <c r="F247" s="7" t="n"/>
      <c r="G247" s="7" t="n"/>
      <c r="H247" s="7" t="n"/>
      <c r="I247" s="7" t="n"/>
      <c r="J247" s="9">
        <f>IF(OR(I247="",H247="Opted out",H247="Replied - no"),"",IF(TODAY()&gt;I247,"OVERDUE",""))</f>
        <v/>
      </c>
      <c r="K247" s="7" t="n"/>
    </row>
    <row r="248">
      <c r="A248" s="7" t="n"/>
      <c r="B248" s="7" t="n"/>
      <c r="C248" s="7" t="n"/>
      <c r="D248" s="7" t="n"/>
      <c r="E248" s="7" t="n"/>
      <c r="F248" s="7" t="n"/>
      <c r="G248" s="7" t="n"/>
      <c r="H248" s="7" t="n"/>
      <c r="I248" s="7" t="n"/>
      <c r="J248" s="9">
        <f>IF(OR(I248="",H248="Opted out",H248="Replied - no"),"",IF(TODAY()&gt;I248,"OVERDUE",""))</f>
        <v/>
      </c>
      <c r="K248" s="7" t="n"/>
    </row>
    <row r="249">
      <c r="A249" s="7" t="n"/>
      <c r="B249" s="7" t="n"/>
      <c r="C249" s="7" t="n"/>
      <c r="D249" s="7" t="n"/>
      <c r="E249" s="7" t="n"/>
      <c r="F249" s="7" t="n"/>
      <c r="G249" s="7" t="n"/>
      <c r="H249" s="7" t="n"/>
      <c r="I249" s="7" t="n"/>
      <c r="J249" s="9">
        <f>IF(OR(I249="",H249="Opted out",H249="Replied - no"),"",IF(TODAY()&gt;I249,"OVERDUE",""))</f>
        <v/>
      </c>
      <c r="K249" s="7" t="n"/>
    </row>
    <row r="250">
      <c r="A250" s="7" t="n"/>
      <c r="B250" s="7" t="n"/>
      <c r="C250" s="7" t="n"/>
      <c r="D250" s="7" t="n"/>
      <c r="E250" s="7" t="n"/>
      <c r="F250" s="7" t="n"/>
      <c r="G250" s="7" t="n"/>
      <c r="H250" s="7" t="n"/>
      <c r="I250" s="7" t="n"/>
      <c r="J250" s="9">
        <f>IF(OR(I250="",H250="Opted out",H250="Replied - no"),"",IF(TODAY()&gt;I250,"OVERDUE",""))</f>
        <v/>
      </c>
      <c r="K250" s="7" t="n"/>
    </row>
    <row r="251">
      <c r="A251" s="7" t="n"/>
      <c r="B251" s="7" t="n"/>
      <c r="C251" s="7" t="n"/>
      <c r="D251" s="7" t="n"/>
      <c r="E251" s="7" t="n"/>
      <c r="F251" s="7" t="n"/>
      <c r="G251" s="7" t="n"/>
      <c r="H251" s="7" t="n"/>
      <c r="I251" s="7" t="n"/>
      <c r="J251" s="9">
        <f>IF(OR(I251="",H251="Opted out",H251="Replied - no"),"",IF(TODAY()&gt;I251,"OVERDUE",""))</f>
        <v/>
      </c>
      <c r="K251" s="7" t="n"/>
    </row>
    <row r="252">
      <c r="A252" s="7" t="n"/>
      <c r="B252" s="7" t="n"/>
      <c r="C252" s="7" t="n"/>
      <c r="D252" s="7" t="n"/>
      <c r="E252" s="7" t="n"/>
      <c r="F252" s="7" t="n"/>
      <c r="G252" s="7" t="n"/>
      <c r="H252" s="7" t="n"/>
      <c r="I252" s="7" t="n"/>
      <c r="J252" s="9">
        <f>IF(OR(I252="",H252="Opted out",H252="Replied - no"),"",IF(TODAY()&gt;I252,"OVERDUE",""))</f>
        <v/>
      </c>
      <c r="K252" s="7" t="n"/>
    </row>
    <row r="253">
      <c r="A253" s="7" t="n"/>
      <c r="B253" s="7" t="n"/>
      <c r="C253" s="7" t="n"/>
      <c r="D253" s="7" t="n"/>
      <c r="E253" s="7" t="n"/>
      <c r="F253" s="7" t="n"/>
      <c r="G253" s="7" t="n"/>
      <c r="H253" s="7" t="n"/>
      <c r="I253" s="7" t="n"/>
      <c r="J253" s="9">
        <f>IF(OR(I253="",H253="Opted out",H253="Replied - no"),"",IF(TODAY()&gt;I253,"OVERDUE",""))</f>
        <v/>
      </c>
      <c r="K253" s="7" t="n"/>
    </row>
    <row r="254">
      <c r="A254" s="7" t="n"/>
      <c r="B254" s="7" t="n"/>
      <c r="C254" s="7" t="n"/>
      <c r="D254" s="7" t="n"/>
      <c r="E254" s="7" t="n"/>
      <c r="F254" s="7" t="n"/>
      <c r="G254" s="7" t="n"/>
      <c r="H254" s="7" t="n"/>
      <c r="I254" s="7" t="n"/>
      <c r="J254" s="9">
        <f>IF(OR(I254="",H254="Opted out",H254="Replied - no"),"",IF(TODAY()&gt;I254,"OVERDUE",""))</f>
        <v/>
      </c>
      <c r="K254" s="7" t="n"/>
    </row>
    <row r="255">
      <c r="A255" s="7" t="n"/>
      <c r="B255" s="7" t="n"/>
      <c r="C255" s="7" t="n"/>
      <c r="D255" s="7" t="n"/>
      <c r="E255" s="7" t="n"/>
      <c r="F255" s="7" t="n"/>
      <c r="G255" s="7" t="n"/>
      <c r="H255" s="7" t="n"/>
      <c r="I255" s="7" t="n"/>
      <c r="J255" s="9">
        <f>IF(OR(I255="",H255="Opted out",H255="Replied - no"),"",IF(TODAY()&gt;I255,"OVERDUE",""))</f>
        <v/>
      </c>
      <c r="K255" s="7" t="n"/>
    </row>
    <row r="256">
      <c r="A256" s="7" t="n"/>
      <c r="B256" s="7" t="n"/>
      <c r="C256" s="7" t="n"/>
      <c r="D256" s="7" t="n"/>
      <c r="E256" s="7" t="n"/>
      <c r="F256" s="7" t="n"/>
      <c r="G256" s="7" t="n"/>
      <c r="H256" s="7" t="n"/>
      <c r="I256" s="7" t="n"/>
      <c r="J256" s="9">
        <f>IF(OR(I256="",H256="Opted out",H256="Replied - no"),"",IF(TODAY()&gt;I256,"OVERDUE",""))</f>
        <v/>
      </c>
      <c r="K256" s="7" t="n"/>
    </row>
    <row r="257">
      <c r="A257" s="7" t="n"/>
      <c r="B257" s="7" t="n"/>
      <c r="C257" s="7" t="n"/>
      <c r="D257" s="7" t="n"/>
      <c r="E257" s="7" t="n"/>
      <c r="F257" s="7" t="n"/>
      <c r="G257" s="7" t="n"/>
      <c r="H257" s="7" t="n"/>
      <c r="I257" s="7" t="n"/>
      <c r="J257" s="9">
        <f>IF(OR(I257="",H257="Opted out",H257="Replied - no"),"",IF(TODAY()&gt;I257,"OVERDUE",""))</f>
        <v/>
      </c>
      <c r="K257" s="7" t="n"/>
    </row>
    <row r="258">
      <c r="A258" s="7" t="n"/>
      <c r="B258" s="7" t="n"/>
      <c r="C258" s="7" t="n"/>
      <c r="D258" s="7" t="n"/>
      <c r="E258" s="7" t="n"/>
      <c r="F258" s="7" t="n"/>
      <c r="G258" s="7" t="n"/>
      <c r="H258" s="7" t="n"/>
      <c r="I258" s="7" t="n"/>
      <c r="J258" s="9">
        <f>IF(OR(I258="",H258="Opted out",H258="Replied - no"),"",IF(TODAY()&gt;I258,"OVERDUE",""))</f>
        <v/>
      </c>
      <c r="K258" s="7" t="n"/>
    </row>
    <row r="259">
      <c r="A259" s="7" t="n"/>
      <c r="B259" s="7" t="n"/>
      <c r="C259" s="7" t="n"/>
      <c r="D259" s="7" t="n"/>
      <c r="E259" s="7" t="n"/>
      <c r="F259" s="7" t="n"/>
      <c r="G259" s="7" t="n"/>
      <c r="H259" s="7" t="n"/>
      <c r="I259" s="7" t="n"/>
      <c r="J259" s="9">
        <f>IF(OR(I259="",H259="Opted out",H259="Replied - no"),"",IF(TODAY()&gt;I259,"OVERDUE",""))</f>
        <v/>
      </c>
      <c r="K259" s="7" t="n"/>
    </row>
    <row r="260">
      <c r="A260" s="7" t="n"/>
      <c r="B260" s="7" t="n"/>
      <c r="C260" s="7" t="n"/>
      <c r="D260" s="7" t="n"/>
      <c r="E260" s="7" t="n"/>
      <c r="F260" s="7" t="n"/>
      <c r="G260" s="7" t="n"/>
      <c r="H260" s="7" t="n"/>
      <c r="I260" s="7" t="n"/>
      <c r="J260" s="9">
        <f>IF(OR(I260="",H260="Opted out",H260="Replied - no"),"",IF(TODAY()&gt;I260,"OVERDUE",""))</f>
        <v/>
      </c>
      <c r="K260" s="7" t="n"/>
    </row>
    <row r="261">
      <c r="A261" s="7" t="n"/>
      <c r="B261" s="7" t="n"/>
      <c r="C261" s="7" t="n"/>
      <c r="D261" s="7" t="n"/>
      <c r="E261" s="7" t="n"/>
      <c r="F261" s="7" t="n"/>
      <c r="G261" s="7" t="n"/>
      <c r="H261" s="7" t="n"/>
      <c r="I261" s="7" t="n"/>
      <c r="J261" s="9">
        <f>IF(OR(I261="",H261="Opted out",H261="Replied - no"),"",IF(TODAY()&gt;I261,"OVERDUE",""))</f>
        <v/>
      </c>
      <c r="K261" s="7" t="n"/>
    </row>
    <row r="262">
      <c r="A262" s="7" t="n"/>
      <c r="B262" s="7" t="n"/>
      <c r="C262" s="7" t="n"/>
      <c r="D262" s="7" t="n"/>
      <c r="E262" s="7" t="n"/>
      <c r="F262" s="7" t="n"/>
      <c r="G262" s="7" t="n"/>
      <c r="H262" s="7" t="n"/>
      <c r="I262" s="7" t="n"/>
      <c r="J262" s="9">
        <f>IF(OR(I262="",H262="Opted out",H262="Replied - no"),"",IF(TODAY()&gt;I262,"OVERDUE",""))</f>
        <v/>
      </c>
      <c r="K262" s="7" t="n"/>
    </row>
    <row r="263">
      <c r="A263" s="7" t="n"/>
      <c r="B263" s="7" t="n"/>
      <c r="C263" s="7" t="n"/>
      <c r="D263" s="7" t="n"/>
      <c r="E263" s="7" t="n"/>
      <c r="F263" s="7" t="n"/>
      <c r="G263" s="7" t="n"/>
      <c r="H263" s="7" t="n"/>
      <c r="I263" s="7" t="n"/>
      <c r="J263" s="9">
        <f>IF(OR(I263="",H263="Opted out",H263="Replied - no"),"",IF(TODAY()&gt;I263,"OVERDUE",""))</f>
        <v/>
      </c>
      <c r="K263" s="7" t="n"/>
    </row>
    <row r="264">
      <c r="A264" s="7" t="n"/>
      <c r="B264" s="7" t="n"/>
      <c r="C264" s="7" t="n"/>
      <c r="D264" s="7" t="n"/>
      <c r="E264" s="7" t="n"/>
      <c r="F264" s="7" t="n"/>
      <c r="G264" s="7" t="n"/>
      <c r="H264" s="7" t="n"/>
      <c r="I264" s="7" t="n"/>
      <c r="J264" s="9">
        <f>IF(OR(I264="",H264="Opted out",H264="Replied - no"),"",IF(TODAY()&gt;I264,"OVERDUE",""))</f>
        <v/>
      </c>
      <c r="K264" s="7" t="n"/>
    </row>
    <row r="265">
      <c r="A265" s="7" t="n"/>
      <c r="B265" s="7" t="n"/>
      <c r="C265" s="7" t="n"/>
      <c r="D265" s="7" t="n"/>
      <c r="E265" s="7" t="n"/>
      <c r="F265" s="7" t="n"/>
      <c r="G265" s="7" t="n"/>
      <c r="H265" s="7" t="n"/>
      <c r="I265" s="7" t="n"/>
      <c r="J265" s="9">
        <f>IF(OR(I265="",H265="Opted out",H265="Replied - no"),"",IF(TODAY()&gt;I265,"OVERDUE",""))</f>
        <v/>
      </c>
      <c r="K265" s="7" t="n"/>
    </row>
    <row r="266">
      <c r="A266" s="7" t="n"/>
      <c r="B266" s="7" t="n"/>
      <c r="C266" s="7" t="n"/>
      <c r="D266" s="7" t="n"/>
      <c r="E266" s="7" t="n"/>
      <c r="F266" s="7" t="n"/>
      <c r="G266" s="7" t="n"/>
      <c r="H266" s="7" t="n"/>
      <c r="I266" s="7" t="n"/>
      <c r="J266" s="9">
        <f>IF(OR(I266="",H266="Opted out",H266="Replied - no"),"",IF(TODAY()&gt;I266,"OVERDUE",""))</f>
        <v/>
      </c>
      <c r="K266" s="7" t="n"/>
    </row>
    <row r="267">
      <c r="A267" s="7" t="n"/>
      <c r="B267" s="7" t="n"/>
      <c r="C267" s="7" t="n"/>
      <c r="D267" s="7" t="n"/>
      <c r="E267" s="7" t="n"/>
      <c r="F267" s="7" t="n"/>
      <c r="G267" s="7" t="n"/>
      <c r="H267" s="7" t="n"/>
      <c r="I267" s="7" t="n"/>
      <c r="J267" s="9">
        <f>IF(OR(I267="",H267="Opted out",H267="Replied - no"),"",IF(TODAY()&gt;I267,"OVERDUE",""))</f>
        <v/>
      </c>
      <c r="K267" s="7" t="n"/>
    </row>
    <row r="268">
      <c r="A268" s="7" t="n"/>
      <c r="B268" s="7" t="n"/>
      <c r="C268" s="7" t="n"/>
      <c r="D268" s="7" t="n"/>
      <c r="E268" s="7" t="n"/>
      <c r="F268" s="7" t="n"/>
      <c r="G268" s="7" t="n"/>
      <c r="H268" s="7" t="n"/>
      <c r="I268" s="7" t="n"/>
      <c r="J268" s="9">
        <f>IF(OR(I268="",H268="Opted out",H268="Replied - no"),"",IF(TODAY()&gt;I268,"OVERDUE",""))</f>
        <v/>
      </c>
      <c r="K268" s="7" t="n"/>
    </row>
    <row r="269">
      <c r="A269" s="7" t="n"/>
      <c r="B269" s="7" t="n"/>
      <c r="C269" s="7" t="n"/>
      <c r="D269" s="7" t="n"/>
      <c r="E269" s="7" t="n"/>
      <c r="F269" s="7" t="n"/>
      <c r="G269" s="7" t="n"/>
      <c r="H269" s="7" t="n"/>
      <c r="I269" s="7" t="n"/>
      <c r="J269" s="9">
        <f>IF(OR(I269="",H269="Opted out",H269="Replied - no"),"",IF(TODAY()&gt;I269,"OVERDUE",""))</f>
        <v/>
      </c>
      <c r="K269" s="7" t="n"/>
    </row>
    <row r="270">
      <c r="A270" s="7" t="n"/>
      <c r="B270" s="7" t="n"/>
      <c r="C270" s="7" t="n"/>
      <c r="D270" s="7" t="n"/>
      <c r="E270" s="7" t="n"/>
      <c r="F270" s="7" t="n"/>
      <c r="G270" s="7" t="n"/>
      <c r="H270" s="7" t="n"/>
      <c r="I270" s="7" t="n"/>
      <c r="J270" s="9">
        <f>IF(OR(I270="",H270="Opted out",H270="Replied - no"),"",IF(TODAY()&gt;I270,"OVERDUE",""))</f>
        <v/>
      </c>
      <c r="K270" s="7" t="n"/>
    </row>
    <row r="271">
      <c r="A271" s="7" t="n"/>
      <c r="B271" s="7" t="n"/>
      <c r="C271" s="7" t="n"/>
      <c r="D271" s="7" t="n"/>
      <c r="E271" s="7" t="n"/>
      <c r="F271" s="7" t="n"/>
      <c r="G271" s="7" t="n"/>
      <c r="H271" s="7" t="n"/>
      <c r="I271" s="7" t="n"/>
      <c r="J271" s="9">
        <f>IF(OR(I271="",H271="Opted out",H271="Replied - no"),"",IF(TODAY()&gt;I271,"OVERDUE",""))</f>
        <v/>
      </c>
      <c r="K271" s="7" t="n"/>
    </row>
    <row r="272">
      <c r="A272" s="7" t="n"/>
      <c r="B272" s="7" t="n"/>
      <c r="C272" s="7" t="n"/>
      <c r="D272" s="7" t="n"/>
      <c r="E272" s="7" t="n"/>
      <c r="F272" s="7" t="n"/>
      <c r="G272" s="7" t="n"/>
      <c r="H272" s="7" t="n"/>
      <c r="I272" s="7" t="n"/>
      <c r="J272" s="9">
        <f>IF(OR(I272="",H272="Opted out",H272="Replied - no"),"",IF(TODAY()&gt;I272,"OVERDUE",""))</f>
        <v/>
      </c>
      <c r="K272" s="7" t="n"/>
    </row>
    <row r="273">
      <c r="A273" s="7" t="n"/>
      <c r="B273" s="7" t="n"/>
      <c r="C273" s="7" t="n"/>
      <c r="D273" s="7" t="n"/>
      <c r="E273" s="7" t="n"/>
      <c r="F273" s="7" t="n"/>
      <c r="G273" s="7" t="n"/>
      <c r="H273" s="7" t="n"/>
      <c r="I273" s="7" t="n"/>
      <c r="J273" s="9">
        <f>IF(OR(I273="",H273="Opted out",H273="Replied - no"),"",IF(TODAY()&gt;I273,"OVERDUE",""))</f>
        <v/>
      </c>
      <c r="K273" s="7" t="n"/>
    </row>
    <row r="274">
      <c r="A274" s="7" t="n"/>
      <c r="B274" s="7" t="n"/>
      <c r="C274" s="7" t="n"/>
      <c r="D274" s="7" t="n"/>
      <c r="E274" s="7" t="n"/>
      <c r="F274" s="7" t="n"/>
      <c r="G274" s="7" t="n"/>
      <c r="H274" s="7" t="n"/>
      <c r="I274" s="7" t="n"/>
      <c r="J274" s="9">
        <f>IF(OR(I274="",H274="Opted out",H274="Replied - no"),"",IF(TODAY()&gt;I274,"OVERDUE",""))</f>
        <v/>
      </c>
      <c r="K274" s="7" t="n"/>
    </row>
    <row r="275">
      <c r="A275" s="7" t="n"/>
      <c r="B275" s="7" t="n"/>
      <c r="C275" s="7" t="n"/>
      <c r="D275" s="7" t="n"/>
      <c r="E275" s="7" t="n"/>
      <c r="F275" s="7" t="n"/>
      <c r="G275" s="7" t="n"/>
      <c r="H275" s="7" t="n"/>
      <c r="I275" s="7" t="n"/>
      <c r="J275" s="9">
        <f>IF(OR(I275="",H275="Opted out",H275="Replied - no"),"",IF(TODAY()&gt;I275,"OVERDUE",""))</f>
        <v/>
      </c>
      <c r="K275" s="7" t="n"/>
    </row>
    <row r="276">
      <c r="A276" s="7" t="n"/>
      <c r="B276" s="7" t="n"/>
      <c r="C276" s="7" t="n"/>
      <c r="D276" s="7" t="n"/>
      <c r="E276" s="7" t="n"/>
      <c r="F276" s="7" t="n"/>
      <c r="G276" s="7" t="n"/>
      <c r="H276" s="7" t="n"/>
      <c r="I276" s="7" t="n"/>
      <c r="J276" s="9">
        <f>IF(OR(I276="",H276="Opted out",H276="Replied - no"),"",IF(TODAY()&gt;I276,"OVERDUE",""))</f>
        <v/>
      </c>
      <c r="K276" s="7" t="n"/>
    </row>
    <row r="277">
      <c r="A277" s="7" t="n"/>
      <c r="B277" s="7" t="n"/>
      <c r="C277" s="7" t="n"/>
      <c r="D277" s="7" t="n"/>
      <c r="E277" s="7" t="n"/>
      <c r="F277" s="7" t="n"/>
      <c r="G277" s="7" t="n"/>
      <c r="H277" s="7" t="n"/>
      <c r="I277" s="7" t="n"/>
      <c r="J277" s="9">
        <f>IF(OR(I277="",H277="Opted out",H277="Replied - no"),"",IF(TODAY()&gt;I277,"OVERDUE",""))</f>
        <v/>
      </c>
      <c r="K277" s="7" t="n"/>
    </row>
    <row r="278">
      <c r="A278" s="7" t="n"/>
      <c r="B278" s="7" t="n"/>
      <c r="C278" s="7" t="n"/>
      <c r="D278" s="7" t="n"/>
      <c r="E278" s="7" t="n"/>
      <c r="F278" s="7" t="n"/>
      <c r="G278" s="7" t="n"/>
      <c r="H278" s="7" t="n"/>
      <c r="I278" s="7" t="n"/>
      <c r="J278" s="9">
        <f>IF(OR(I278="",H278="Opted out",H278="Replied - no"),"",IF(TODAY()&gt;I278,"OVERDUE",""))</f>
        <v/>
      </c>
      <c r="K278" s="7" t="n"/>
    </row>
    <row r="279">
      <c r="A279" s="7" t="n"/>
      <c r="B279" s="7" t="n"/>
      <c r="C279" s="7" t="n"/>
      <c r="D279" s="7" t="n"/>
      <c r="E279" s="7" t="n"/>
      <c r="F279" s="7" t="n"/>
      <c r="G279" s="7" t="n"/>
      <c r="H279" s="7" t="n"/>
      <c r="I279" s="7" t="n"/>
      <c r="J279" s="9">
        <f>IF(OR(I279="",H279="Opted out",H279="Replied - no"),"",IF(TODAY()&gt;I279,"OVERDUE",""))</f>
        <v/>
      </c>
      <c r="K279" s="7" t="n"/>
    </row>
    <row r="280">
      <c r="A280" s="7" t="n"/>
      <c r="B280" s="7" t="n"/>
      <c r="C280" s="7" t="n"/>
      <c r="D280" s="7" t="n"/>
      <c r="E280" s="7" t="n"/>
      <c r="F280" s="7" t="n"/>
      <c r="G280" s="7" t="n"/>
      <c r="H280" s="7" t="n"/>
      <c r="I280" s="7" t="n"/>
      <c r="J280" s="9">
        <f>IF(OR(I280="",H280="Opted out",H280="Replied - no"),"",IF(TODAY()&gt;I280,"OVERDUE",""))</f>
        <v/>
      </c>
      <c r="K280" s="7" t="n"/>
    </row>
    <row r="281">
      <c r="A281" s="7" t="n"/>
      <c r="B281" s="7" t="n"/>
      <c r="C281" s="7" t="n"/>
      <c r="D281" s="7" t="n"/>
      <c r="E281" s="7" t="n"/>
      <c r="F281" s="7" t="n"/>
      <c r="G281" s="7" t="n"/>
      <c r="H281" s="7" t="n"/>
      <c r="I281" s="7" t="n"/>
      <c r="J281" s="9">
        <f>IF(OR(I281="",H281="Opted out",H281="Replied - no"),"",IF(TODAY()&gt;I281,"OVERDUE",""))</f>
        <v/>
      </c>
      <c r="K281" s="7" t="n"/>
    </row>
    <row r="282">
      <c r="A282" s="7" t="n"/>
      <c r="B282" s="7" t="n"/>
      <c r="C282" s="7" t="n"/>
      <c r="D282" s="7" t="n"/>
      <c r="E282" s="7" t="n"/>
      <c r="F282" s="7" t="n"/>
      <c r="G282" s="7" t="n"/>
      <c r="H282" s="7" t="n"/>
      <c r="I282" s="7" t="n"/>
      <c r="J282" s="9">
        <f>IF(OR(I282="",H282="Opted out",H282="Replied - no"),"",IF(TODAY()&gt;I282,"OVERDUE",""))</f>
        <v/>
      </c>
      <c r="K282" s="7" t="n"/>
    </row>
    <row r="283">
      <c r="A283" s="7" t="n"/>
      <c r="B283" s="7" t="n"/>
      <c r="C283" s="7" t="n"/>
      <c r="D283" s="7" t="n"/>
      <c r="E283" s="7" t="n"/>
      <c r="F283" s="7" t="n"/>
      <c r="G283" s="7" t="n"/>
      <c r="H283" s="7" t="n"/>
      <c r="I283" s="7" t="n"/>
      <c r="J283" s="9">
        <f>IF(OR(I283="",H283="Opted out",H283="Replied - no"),"",IF(TODAY()&gt;I283,"OVERDUE",""))</f>
        <v/>
      </c>
      <c r="K283" s="7" t="n"/>
    </row>
    <row r="284">
      <c r="A284" s="7" t="n"/>
      <c r="B284" s="7" t="n"/>
      <c r="C284" s="7" t="n"/>
      <c r="D284" s="7" t="n"/>
      <c r="E284" s="7" t="n"/>
      <c r="F284" s="7" t="n"/>
      <c r="G284" s="7" t="n"/>
      <c r="H284" s="7" t="n"/>
      <c r="I284" s="7" t="n"/>
      <c r="J284" s="9">
        <f>IF(OR(I284="",H284="Opted out",H284="Replied - no"),"",IF(TODAY()&gt;I284,"OVERDUE",""))</f>
        <v/>
      </c>
      <c r="K284" s="7" t="n"/>
    </row>
    <row r="285">
      <c r="A285" s="7" t="n"/>
      <c r="B285" s="7" t="n"/>
      <c r="C285" s="7" t="n"/>
      <c r="D285" s="7" t="n"/>
      <c r="E285" s="7" t="n"/>
      <c r="F285" s="7" t="n"/>
      <c r="G285" s="7" t="n"/>
      <c r="H285" s="7" t="n"/>
      <c r="I285" s="7" t="n"/>
      <c r="J285" s="9">
        <f>IF(OR(I285="",H285="Opted out",H285="Replied - no"),"",IF(TODAY()&gt;I285,"OVERDUE",""))</f>
        <v/>
      </c>
      <c r="K285" s="7" t="n"/>
    </row>
    <row r="286">
      <c r="A286" s="7" t="n"/>
      <c r="B286" s="7" t="n"/>
      <c r="C286" s="7" t="n"/>
      <c r="D286" s="7" t="n"/>
      <c r="E286" s="7" t="n"/>
      <c r="F286" s="7" t="n"/>
      <c r="G286" s="7" t="n"/>
      <c r="H286" s="7" t="n"/>
      <c r="I286" s="7" t="n"/>
      <c r="J286" s="9">
        <f>IF(OR(I286="",H286="Opted out",H286="Replied - no"),"",IF(TODAY()&gt;I286,"OVERDUE",""))</f>
        <v/>
      </c>
      <c r="K286" s="7" t="n"/>
    </row>
    <row r="287">
      <c r="A287" s="7" t="n"/>
      <c r="B287" s="7" t="n"/>
      <c r="C287" s="7" t="n"/>
      <c r="D287" s="7" t="n"/>
      <c r="E287" s="7" t="n"/>
      <c r="F287" s="7" t="n"/>
      <c r="G287" s="7" t="n"/>
      <c r="H287" s="7" t="n"/>
      <c r="I287" s="7" t="n"/>
      <c r="J287" s="9">
        <f>IF(OR(I287="",H287="Opted out",H287="Replied - no"),"",IF(TODAY()&gt;I287,"OVERDUE",""))</f>
        <v/>
      </c>
      <c r="K287" s="7" t="n"/>
    </row>
    <row r="288">
      <c r="A288" s="7" t="n"/>
      <c r="B288" s="7" t="n"/>
      <c r="C288" s="7" t="n"/>
      <c r="D288" s="7" t="n"/>
      <c r="E288" s="7" t="n"/>
      <c r="F288" s="7" t="n"/>
      <c r="G288" s="7" t="n"/>
      <c r="H288" s="7" t="n"/>
      <c r="I288" s="7" t="n"/>
      <c r="J288" s="9">
        <f>IF(OR(I288="",H288="Opted out",H288="Replied - no"),"",IF(TODAY()&gt;I288,"OVERDUE",""))</f>
        <v/>
      </c>
      <c r="K288" s="7" t="n"/>
    </row>
    <row r="289">
      <c r="A289" s="7" t="n"/>
      <c r="B289" s="7" t="n"/>
      <c r="C289" s="7" t="n"/>
      <c r="D289" s="7" t="n"/>
      <c r="E289" s="7" t="n"/>
      <c r="F289" s="7" t="n"/>
      <c r="G289" s="7" t="n"/>
      <c r="H289" s="7" t="n"/>
      <c r="I289" s="7" t="n"/>
      <c r="J289" s="9">
        <f>IF(OR(I289="",H289="Opted out",H289="Replied - no"),"",IF(TODAY()&gt;I289,"OVERDUE",""))</f>
        <v/>
      </c>
      <c r="K289" s="7" t="n"/>
    </row>
    <row r="290">
      <c r="A290" s="7" t="n"/>
      <c r="B290" s="7" t="n"/>
      <c r="C290" s="7" t="n"/>
      <c r="D290" s="7" t="n"/>
      <c r="E290" s="7" t="n"/>
      <c r="F290" s="7" t="n"/>
      <c r="G290" s="7" t="n"/>
      <c r="H290" s="7" t="n"/>
      <c r="I290" s="7" t="n"/>
      <c r="J290" s="9">
        <f>IF(OR(I290="",H290="Opted out",H290="Replied - no"),"",IF(TODAY()&gt;I290,"OVERDUE",""))</f>
        <v/>
      </c>
      <c r="K290" s="7" t="n"/>
    </row>
    <row r="291">
      <c r="A291" s="7" t="n"/>
      <c r="B291" s="7" t="n"/>
      <c r="C291" s="7" t="n"/>
      <c r="D291" s="7" t="n"/>
      <c r="E291" s="7" t="n"/>
      <c r="F291" s="7" t="n"/>
      <c r="G291" s="7" t="n"/>
      <c r="H291" s="7" t="n"/>
      <c r="I291" s="7" t="n"/>
      <c r="J291" s="9">
        <f>IF(OR(I291="",H291="Opted out",H291="Replied - no"),"",IF(TODAY()&gt;I291,"OVERDUE",""))</f>
        <v/>
      </c>
      <c r="K291" s="7" t="n"/>
    </row>
    <row r="292">
      <c r="A292" s="7" t="n"/>
      <c r="B292" s="7" t="n"/>
      <c r="C292" s="7" t="n"/>
      <c r="D292" s="7" t="n"/>
      <c r="E292" s="7" t="n"/>
      <c r="F292" s="7" t="n"/>
      <c r="G292" s="7" t="n"/>
      <c r="H292" s="7" t="n"/>
      <c r="I292" s="7" t="n"/>
      <c r="J292" s="9">
        <f>IF(OR(I292="",H292="Opted out",H292="Replied - no"),"",IF(TODAY()&gt;I292,"OVERDUE",""))</f>
        <v/>
      </c>
      <c r="K292" s="7" t="n"/>
    </row>
    <row r="293">
      <c r="A293" s="7" t="n"/>
      <c r="B293" s="7" t="n"/>
      <c r="C293" s="7" t="n"/>
      <c r="D293" s="7" t="n"/>
      <c r="E293" s="7" t="n"/>
      <c r="F293" s="7" t="n"/>
      <c r="G293" s="7" t="n"/>
      <c r="H293" s="7" t="n"/>
      <c r="I293" s="7" t="n"/>
      <c r="J293" s="9">
        <f>IF(OR(I293="",H293="Opted out",H293="Replied - no"),"",IF(TODAY()&gt;I293,"OVERDUE",""))</f>
        <v/>
      </c>
      <c r="K293" s="7" t="n"/>
    </row>
    <row r="294">
      <c r="A294" s="7" t="n"/>
      <c r="B294" s="7" t="n"/>
      <c r="C294" s="7" t="n"/>
      <c r="D294" s="7" t="n"/>
      <c r="E294" s="7" t="n"/>
      <c r="F294" s="7" t="n"/>
      <c r="G294" s="7" t="n"/>
      <c r="H294" s="7" t="n"/>
      <c r="I294" s="7" t="n"/>
      <c r="J294" s="9">
        <f>IF(OR(I294="",H294="Opted out",H294="Replied - no"),"",IF(TODAY()&gt;I294,"OVERDUE",""))</f>
        <v/>
      </c>
      <c r="K294" s="7" t="n"/>
    </row>
    <row r="295">
      <c r="A295" s="7" t="n"/>
      <c r="B295" s="7" t="n"/>
      <c r="C295" s="7" t="n"/>
      <c r="D295" s="7" t="n"/>
      <c r="E295" s="7" t="n"/>
      <c r="F295" s="7" t="n"/>
      <c r="G295" s="7" t="n"/>
      <c r="H295" s="7" t="n"/>
      <c r="I295" s="7" t="n"/>
      <c r="J295" s="9">
        <f>IF(OR(I295="",H295="Opted out",H295="Replied - no"),"",IF(TODAY()&gt;I295,"OVERDUE",""))</f>
        <v/>
      </c>
      <c r="K295" s="7" t="n"/>
    </row>
    <row r="296">
      <c r="A296" s="7" t="n"/>
      <c r="B296" s="7" t="n"/>
      <c r="C296" s="7" t="n"/>
      <c r="D296" s="7" t="n"/>
      <c r="E296" s="7" t="n"/>
      <c r="F296" s="7" t="n"/>
      <c r="G296" s="7" t="n"/>
      <c r="H296" s="7" t="n"/>
      <c r="I296" s="7" t="n"/>
      <c r="J296" s="9">
        <f>IF(OR(I296="",H296="Opted out",H296="Replied - no"),"",IF(TODAY()&gt;I296,"OVERDUE",""))</f>
        <v/>
      </c>
      <c r="K296" s="7" t="n"/>
    </row>
    <row r="297">
      <c r="A297" s="7" t="n"/>
      <c r="B297" s="7" t="n"/>
      <c r="C297" s="7" t="n"/>
      <c r="D297" s="7" t="n"/>
      <c r="E297" s="7" t="n"/>
      <c r="F297" s="7" t="n"/>
      <c r="G297" s="7" t="n"/>
      <c r="H297" s="7" t="n"/>
      <c r="I297" s="7" t="n"/>
      <c r="J297" s="9">
        <f>IF(OR(I297="",H297="Opted out",H297="Replied - no"),"",IF(TODAY()&gt;I297,"OVERDUE",""))</f>
        <v/>
      </c>
      <c r="K297" s="7" t="n"/>
    </row>
    <row r="298">
      <c r="A298" s="7" t="n"/>
      <c r="B298" s="7" t="n"/>
      <c r="C298" s="7" t="n"/>
      <c r="D298" s="7" t="n"/>
      <c r="E298" s="7" t="n"/>
      <c r="F298" s="7" t="n"/>
      <c r="G298" s="7" t="n"/>
      <c r="H298" s="7" t="n"/>
      <c r="I298" s="7" t="n"/>
      <c r="J298" s="9">
        <f>IF(OR(I298="",H298="Opted out",H298="Replied - no"),"",IF(TODAY()&gt;I298,"OVERDUE",""))</f>
        <v/>
      </c>
      <c r="K298" s="7" t="n"/>
    </row>
    <row r="299">
      <c r="A299" s="7" t="n"/>
      <c r="B299" s="7" t="n"/>
      <c r="C299" s="7" t="n"/>
      <c r="D299" s="7" t="n"/>
      <c r="E299" s="7" t="n"/>
      <c r="F299" s="7" t="n"/>
      <c r="G299" s="7" t="n"/>
      <c r="H299" s="7" t="n"/>
      <c r="I299" s="7" t="n"/>
      <c r="J299" s="9">
        <f>IF(OR(I299="",H299="Opted out",H299="Replied - no"),"",IF(TODAY()&gt;I299,"OVERDUE",""))</f>
        <v/>
      </c>
      <c r="K299" s="7" t="n"/>
    </row>
    <row r="300">
      <c r="A300" s="7" t="n"/>
      <c r="B300" s="7" t="n"/>
      <c r="C300" s="7" t="n"/>
      <c r="D300" s="7" t="n"/>
      <c r="E300" s="7" t="n"/>
      <c r="F300" s="7" t="n"/>
      <c r="G300" s="7" t="n"/>
      <c r="H300" s="7" t="n"/>
      <c r="I300" s="7" t="n"/>
      <c r="J300" s="9">
        <f>IF(OR(I300="",H300="Opted out",H300="Replied - no"),"",IF(TODAY()&gt;I300,"OVERDUE",""))</f>
        <v/>
      </c>
      <c r="K300" s="7" t="n"/>
    </row>
    <row r="301">
      <c r="A301" s="7" t="n"/>
      <c r="B301" s="7" t="n"/>
      <c r="C301" s="7" t="n"/>
      <c r="D301" s="7" t="n"/>
      <c r="E301" s="7" t="n"/>
      <c r="F301" s="7" t="n"/>
      <c r="G301" s="7" t="n"/>
      <c r="H301" s="7" t="n"/>
      <c r="I301" s="7" t="n"/>
      <c r="J301" s="9">
        <f>IF(OR(I301="",H301="Opted out",H301="Replied - no"),"",IF(TODAY()&gt;I301,"OVERDUE",""))</f>
        <v/>
      </c>
      <c r="K301" s="7" t="n"/>
    </row>
    <row r="302">
      <c r="A302" s="7" t="n"/>
      <c r="B302" s="7" t="n"/>
      <c r="C302" s="7" t="n"/>
      <c r="D302" s="7" t="n"/>
      <c r="E302" s="7" t="n"/>
      <c r="F302" s="7" t="n"/>
      <c r="G302" s="7" t="n"/>
      <c r="H302" s="7" t="n"/>
      <c r="I302" s="7" t="n"/>
      <c r="J302" s="9">
        <f>IF(OR(I302="",H302="Opted out",H302="Replied - no"),"",IF(TODAY()&gt;I302,"OVERDUE",""))</f>
        <v/>
      </c>
      <c r="K302" s="7" t="n"/>
    </row>
    <row r="303">
      <c r="A303" s="7" t="n"/>
      <c r="B303" s="7" t="n"/>
      <c r="C303" s="7" t="n"/>
      <c r="D303" s="7" t="n"/>
      <c r="E303" s="7" t="n"/>
      <c r="F303" s="7" t="n"/>
      <c r="G303" s="7" t="n"/>
      <c r="H303" s="7" t="n"/>
      <c r="I303" s="7" t="n"/>
      <c r="J303" s="9">
        <f>IF(OR(I303="",H303="Opted out",H303="Replied - no"),"",IF(TODAY()&gt;I303,"OVERDUE",""))</f>
        <v/>
      </c>
      <c r="K303" s="7" t="n"/>
    </row>
    <row r="304">
      <c r="A304" s="7" t="n"/>
      <c r="B304" s="7" t="n"/>
      <c r="C304" s="7" t="n"/>
      <c r="D304" s="7" t="n"/>
      <c r="E304" s="7" t="n"/>
      <c r="F304" s="7" t="n"/>
      <c r="G304" s="7" t="n"/>
      <c r="H304" s="7" t="n"/>
      <c r="I304" s="7" t="n"/>
      <c r="J304" s="9">
        <f>IF(OR(I304="",H304="Opted out",H304="Replied - no"),"",IF(TODAY()&gt;I304,"OVERDUE",""))</f>
        <v/>
      </c>
      <c r="K304" s="7" t="n"/>
    </row>
    <row r="305">
      <c r="A305" s="7" t="n"/>
      <c r="B305" s="7" t="n"/>
      <c r="C305" s="7" t="n"/>
      <c r="D305" s="7" t="n"/>
      <c r="E305" s="7" t="n"/>
      <c r="F305" s="7" t="n"/>
      <c r="G305" s="7" t="n"/>
      <c r="H305" s="7" t="n"/>
      <c r="I305" s="7" t="n"/>
      <c r="J305" s="9">
        <f>IF(OR(I305="",H305="Opted out",H305="Replied - no"),"",IF(TODAY()&gt;I305,"OVERDUE",""))</f>
        <v/>
      </c>
      <c r="K305" s="7" t="n"/>
    </row>
    <row r="306">
      <c r="A306" s="7" t="n"/>
      <c r="B306" s="7" t="n"/>
      <c r="C306" s="7" t="n"/>
      <c r="D306" s="7" t="n"/>
      <c r="E306" s="7" t="n"/>
      <c r="F306" s="7" t="n"/>
      <c r="G306" s="7" t="n"/>
      <c r="H306" s="7" t="n"/>
      <c r="I306" s="7" t="n"/>
      <c r="J306" s="9">
        <f>IF(OR(I306="",H306="Opted out",H306="Replied - no"),"",IF(TODAY()&gt;I306,"OVERDUE",""))</f>
        <v/>
      </c>
      <c r="K306" s="7" t="n"/>
    </row>
    <row r="307">
      <c r="A307" s="7" t="n"/>
      <c r="B307" s="7" t="n"/>
      <c r="C307" s="7" t="n"/>
      <c r="D307" s="7" t="n"/>
      <c r="E307" s="7" t="n"/>
      <c r="F307" s="7" t="n"/>
      <c r="G307" s="7" t="n"/>
      <c r="H307" s="7" t="n"/>
      <c r="I307" s="7" t="n"/>
      <c r="J307" s="9">
        <f>IF(OR(I307="",H307="Opted out",H307="Replied - no"),"",IF(TODAY()&gt;I307,"OVERDUE",""))</f>
        <v/>
      </c>
      <c r="K307" s="7" t="n"/>
    </row>
    <row r="308">
      <c r="A308" s="7" t="n"/>
      <c r="B308" s="7" t="n"/>
      <c r="C308" s="7" t="n"/>
      <c r="D308" s="7" t="n"/>
      <c r="E308" s="7" t="n"/>
      <c r="F308" s="7" t="n"/>
      <c r="G308" s="7" t="n"/>
      <c r="H308" s="7" t="n"/>
      <c r="I308" s="7" t="n"/>
      <c r="J308" s="9">
        <f>IF(OR(I308="",H308="Opted out",H308="Replied - no"),"",IF(TODAY()&gt;I308,"OVERDUE",""))</f>
        <v/>
      </c>
      <c r="K308" s="7" t="n"/>
    </row>
    <row r="309">
      <c r="A309" s="7" t="n"/>
      <c r="B309" s="7" t="n"/>
      <c r="C309" s="7" t="n"/>
      <c r="D309" s="7" t="n"/>
      <c r="E309" s="7" t="n"/>
      <c r="F309" s="7" t="n"/>
      <c r="G309" s="7" t="n"/>
      <c r="H309" s="7" t="n"/>
      <c r="I309" s="7" t="n"/>
      <c r="J309" s="9">
        <f>IF(OR(I309="",H309="Opted out",H309="Replied - no"),"",IF(TODAY()&gt;I309,"OVERDUE",""))</f>
        <v/>
      </c>
      <c r="K309" s="7" t="n"/>
    </row>
    <row r="310">
      <c r="A310" s="7" t="n"/>
      <c r="B310" s="7" t="n"/>
      <c r="C310" s="7" t="n"/>
      <c r="D310" s="7" t="n"/>
      <c r="E310" s="7" t="n"/>
      <c r="F310" s="7" t="n"/>
      <c r="G310" s="7" t="n"/>
      <c r="H310" s="7" t="n"/>
      <c r="I310" s="7" t="n"/>
      <c r="J310" s="9">
        <f>IF(OR(I310="",H310="Opted out",H310="Replied - no"),"",IF(TODAY()&gt;I310,"OVERDUE",""))</f>
        <v/>
      </c>
      <c r="K310" s="7" t="n"/>
    </row>
    <row r="311">
      <c r="A311" s="7" t="n"/>
      <c r="B311" s="7" t="n"/>
      <c r="C311" s="7" t="n"/>
      <c r="D311" s="7" t="n"/>
      <c r="E311" s="7" t="n"/>
      <c r="F311" s="7" t="n"/>
      <c r="G311" s="7" t="n"/>
      <c r="H311" s="7" t="n"/>
      <c r="I311" s="7" t="n"/>
      <c r="J311" s="9">
        <f>IF(OR(I311="",H311="Opted out",H311="Replied - no"),"",IF(TODAY()&gt;I311,"OVERDUE",""))</f>
        <v/>
      </c>
      <c r="K311" s="7" t="n"/>
    </row>
    <row r="312">
      <c r="A312" s="7" t="n"/>
      <c r="B312" s="7" t="n"/>
      <c r="C312" s="7" t="n"/>
      <c r="D312" s="7" t="n"/>
      <c r="E312" s="7" t="n"/>
      <c r="F312" s="7" t="n"/>
      <c r="G312" s="7" t="n"/>
      <c r="H312" s="7" t="n"/>
      <c r="I312" s="7" t="n"/>
      <c r="J312" s="9">
        <f>IF(OR(I312="",H312="Opted out",H312="Replied - no"),"",IF(TODAY()&gt;I312,"OVERDUE",""))</f>
        <v/>
      </c>
      <c r="K312" s="7" t="n"/>
    </row>
    <row r="313">
      <c r="A313" s="7" t="n"/>
      <c r="B313" s="7" t="n"/>
      <c r="C313" s="7" t="n"/>
      <c r="D313" s="7" t="n"/>
      <c r="E313" s="7" t="n"/>
      <c r="F313" s="7" t="n"/>
      <c r="G313" s="7" t="n"/>
      <c r="H313" s="7" t="n"/>
      <c r="I313" s="7" t="n"/>
      <c r="J313" s="9">
        <f>IF(OR(I313="",H313="Opted out",H313="Replied - no"),"",IF(TODAY()&gt;I313,"OVERDUE",""))</f>
        <v/>
      </c>
      <c r="K313" s="7" t="n"/>
    </row>
    <row r="314">
      <c r="A314" s="7" t="n"/>
      <c r="B314" s="7" t="n"/>
      <c r="C314" s="7" t="n"/>
      <c r="D314" s="7" t="n"/>
      <c r="E314" s="7" t="n"/>
      <c r="F314" s="7" t="n"/>
      <c r="G314" s="7" t="n"/>
      <c r="H314" s="7" t="n"/>
      <c r="I314" s="7" t="n"/>
      <c r="J314" s="9">
        <f>IF(OR(I314="",H314="Opted out",H314="Replied - no"),"",IF(TODAY()&gt;I314,"OVERDUE",""))</f>
        <v/>
      </c>
      <c r="K314" s="7" t="n"/>
    </row>
    <row r="315">
      <c r="A315" s="7" t="n"/>
      <c r="B315" s="7" t="n"/>
      <c r="C315" s="7" t="n"/>
      <c r="D315" s="7" t="n"/>
      <c r="E315" s="7" t="n"/>
      <c r="F315" s="7" t="n"/>
      <c r="G315" s="7" t="n"/>
      <c r="H315" s="7" t="n"/>
      <c r="I315" s="7" t="n"/>
      <c r="J315" s="9">
        <f>IF(OR(I315="",H315="Opted out",H315="Replied - no"),"",IF(TODAY()&gt;I315,"OVERDUE",""))</f>
        <v/>
      </c>
      <c r="K315" s="7" t="n"/>
    </row>
    <row r="316">
      <c r="A316" s="7" t="n"/>
      <c r="B316" s="7" t="n"/>
      <c r="C316" s="7" t="n"/>
      <c r="D316" s="7" t="n"/>
      <c r="E316" s="7" t="n"/>
      <c r="F316" s="7" t="n"/>
      <c r="G316" s="7" t="n"/>
      <c r="H316" s="7" t="n"/>
      <c r="I316" s="7" t="n"/>
      <c r="J316" s="9">
        <f>IF(OR(I316="",H316="Opted out",H316="Replied - no"),"",IF(TODAY()&gt;I316,"OVERDUE",""))</f>
        <v/>
      </c>
      <c r="K316" s="7" t="n"/>
    </row>
    <row r="317">
      <c r="A317" s="7" t="n"/>
      <c r="B317" s="7" t="n"/>
      <c r="C317" s="7" t="n"/>
      <c r="D317" s="7" t="n"/>
      <c r="E317" s="7" t="n"/>
      <c r="F317" s="7" t="n"/>
      <c r="G317" s="7" t="n"/>
      <c r="H317" s="7" t="n"/>
      <c r="I317" s="7" t="n"/>
      <c r="J317" s="9">
        <f>IF(OR(I317="",H317="Opted out",H317="Replied - no"),"",IF(TODAY()&gt;I317,"OVERDUE",""))</f>
        <v/>
      </c>
      <c r="K317" s="7" t="n"/>
    </row>
    <row r="318">
      <c r="A318" s="7" t="n"/>
      <c r="B318" s="7" t="n"/>
      <c r="C318" s="7" t="n"/>
      <c r="D318" s="7" t="n"/>
      <c r="E318" s="7" t="n"/>
      <c r="F318" s="7" t="n"/>
      <c r="G318" s="7" t="n"/>
      <c r="H318" s="7" t="n"/>
      <c r="I318" s="7" t="n"/>
      <c r="J318" s="9">
        <f>IF(OR(I318="",H318="Opted out",H318="Replied - no"),"",IF(TODAY()&gt;I318,"OVERDUE",""))</f>
        <v/>
      </c>
      <c r="K318" s="7" t="n"/>
    </row>
    <row r="319">
      <c r="A319" s="7" t="n"/>
      <c r="B319" s="7" t="n"/>
      <c r="C319" s="7" t="n"/>
      <c r="D319" s="7" t="n"/>
      <c r="E319" s="7" t="n"/>
      <c r="F319" s="7" t="n"/>
      <c r="G319" s="7" t="n"/>
      <c r="H319" s="7" t="n"/>
      <c r="I319" s="7" t="n"/>
      <c r="J319" s="9">
        <f>IF(OR(I319="",H319="Opted out",H319="Replied - no"),"",IF(TODAY()&gt;I319,"OVERDUE",""))</f>
        <v/>
      </c>
      <c r="K319" s="7" t="n"/>
    </row>
    <row r="320">
      <c r="A320" s="7" t="n"/>
      <c r="B320" s="7" t="n"/>
      <c r="C320" s="7" t="n"/>
      <c r="D320" s="7" t="n"/>
      <c r="E320" s="7" t="n"/>
      <c r="F320" s="7" t="n"/>
      <c r="G320" s="7" t="n"/>
      <c r="H320" s="7" t="n"/>
      <c r="I320" s="7" t="n"/>
      <c r="J320" s="9">
        <f>IF(OR(I320="",H320="Opted out",H320="Replied - no"),"",IF(TODAY()&gt;I320,"OVERDUE",""))</f>
        <v/>
      </c>
      <c r="K320" s="7" t="n"/>
    </row>
    <row r="321">
      <c r="A321" s="7" t="n"/>
      <c r="B321" s="7" t="n"/>
      <c r="C321" s="7" t="n"/>
      <c r="D321" s="7" t="n"/>
      <c r="E321" s="7" t="n"/>
      <c r="F321" s="7" t="n"/>
      <c r="G321" s="7" t="n"/>
      <c r="H321" s="7" t="n"/>
      <c r="I321" s="7" t="n"/>
      <c r="J321" s="9">
        <f>IF(OR(I321="",H321="Opted out",H321="Replied - no"),"",IF(TODAY()&gt;I321,"OVERDUE",""))</f>
        <v/>
      </c>
      <c r="K321" s="7" t="n"/>
    </row>
    <row r="322">
      <c r="A322" s="7" t="n"/>
      <c r="B322" s="7" t="n"/>
      <c r="C322" s="7" t="n"/>
      <c r="D322" s="7" t="n"/>
      <c r="E322" s="7" t="n"/>
      <c r="F322" s="7" t="n"/>
      <c r="G322" s="7" t="n"/>
      <c r="H322" s="7" t="n"/>
      <c r="I322" s="7" t="n"/>
      <c r="J322" s="9">
        <f>IF(OR(I322="",H322="Opted out",H322="Replied - no"),"",IF(TODAY()&gt;I322,"OVERDUE",""))</f>
        <v/>
      </c>
      <c r="K322" s="7" t="n"/>
    </row>
    <row r="323">
      <c r="A323" s="7" t="n"/>
      <c r="B323" s="7" t="n"/>
      <c r="C323" s="7" t="n"/>
      <c r="D323" s="7" t="n"/>
      <c r="E323" s="7" t="n"/>
      <c r="F323" s="7" t="n"/>
      <c r="G323" s="7" t="n"/>
      <c r="H323" s="7" t="n"/>
      <c r="I323" s="7" t="n"/>
      <c r="J323" s="9">
        <f>IF(OR(I323="",H323="Opted out",H323="Replied - no"),"",IF(TODAY()&gt;I323,"OVERDUE",""))</f>
        <v/>
      </c>
      <c r="K323" s="7" t="n"/>
    </row>
    <row r="324">
      <c r="A324" s="7" t="n"/>
      <c r="B324" s="7" t="n"/>
      <c r="C324" s="7" t="n"/>
      <c r="D324" s="7" t="n"/>
      <c r="E324" s="7" t="n"/>
      <c r="F324" s="7" t="n"/>
      <c r="G324" s="7" t="n"/>
      <c r="H324" s="7" t="n"/>
      <c r="I324" s="7" t="n"/>
      <c r="J324" s="9">
        <f>IF(OR(I324="",H324="Opted out",H324="Replied - no"),"",IF(TODAY()&gt;I324,"OVERDUE",""))</f>
        <v/>
      </c>
      <c r="K324" s="7" t="n"/>
    </row>
    <row r="325">
      <c r="A325" s="7" t="n"/>
      <c r="B325" s="7" t="n"/>
      <c r="C325" s="7" t="n"/>
      <c r="D325" s="7" t="n"/>
      <c r="E325" s="7" t="n"/>
      <c r="F325" s="7" t="n"/>
      <c r="G325" s="7" t="n"/>
      <c r="H325" s="7" t="n"/>
      <c r="I325" s="7" t="n"/>
      <c r="J325" s="9">
        <f>IF(OR(I325="",H325="Opted out",H325="Replied - no"),"",IF(TODAY()&gt;I325,"OVERDUE",""))</f>
        <v/>
      </c>
      <c r="K325" s="7" t="n"/>
    </row>
    <row r="326">
      <c r="A326" s="7" t="n"/>
      <c r="B326" s="7" t="n"/>
      <c r="C326" s="7" t="n"/>
      <c r="D326" s="7" t="n"/>
      <c r="E326" s="7" t="n"/>
      <c r="F326" s="7" t="n"/>
      <c r="G326" s="7" t="n"/>
      <c r="H326" s="7" t="n"/>
      <c r="I326" s="7" t="n"/>
      <c r="J326" s="9">
        <f>IF(OR(I326="",H326="Opted out",H326="Replied - no"),"",IF(TODAY()&gt;I326,"OVERDUE",""))</f>
        <v/>
      </c>
      <c r="K326" s="7" t="n"/>
    </row>
    <row r="327">
      <c r="A327" s="7" t="n"/>
      <c r="B327" s="7" t="n"/>
      <c r="C327" s="7" t="n"/>
      <c r="D327" s="7" t="n"/>
      <c r="E327" s="7" t="n"/>
      <c r="F327" s="7" t="n"/>
      <c r="G327" s="7" t="n"/>
      <c r="H327" s="7" t="n"/>
      <c r="I327" s="7" t="n"/>
      <c r="J327" s="9">
        <f>IF(OR(I327="",H327="Opted out",H327="Replied - no"),"",IF(TODAY()&gt;I327,"OVERDUE",""))</f>
        <v/>
      </c>
      <c r="K327" s="7" t="n"/>
    </row>
    <row r="328">
      <c r="A328" s="7" t="n"/>
      <c r="B328" s="7" t="n"/>
      <c r="C328" s="7" t="n"/>
      <c r="D328" s="7" t="n"/>
      <c r="E328" s="7" t="n"/>
      <c r="F328" s="7" t="n"/>
      <c r="G328" s="7" t="n"/>
      <c r="H328" s="7" t="n"/>
      <c r="I328" s="7" t="n"/>
      <c r="J328" s="9">
        <f>IF(OR(I328="",H328="Opted out",H328="Replied - no"),"",IF(TODAY()&gt;I328,"OVERDUE",""))</f>
        <v/>
      </c>
      <c r="K328" s="7" t="n"/>
    </row>
    <row r="329">
      <c r="A329" s="7" t="n"/>
      <c r="B329" s="7" t="n"/>
      <c r="C329" s="7" t="n"/>
      <c r="D329" s="7" t="n"/>
      <c r="E329" s="7" t="n"/>
      <c r="F329" s="7" t="n"/>
      <c r="G329" s="7" t="n"/>
      <c r="H329" s="7" t="n"/>
      <c r="I329" s="7" t="n"/>
      <c r="J329" s="9">
        <f>IF(OR(I329="",H329="Opted out",H329="Replied - no"),"",IF(TODAY()&gt;I329,"OVERDUE",""))</f>
        <v/>
      </c>
      <c r="K329" s="7" t="n"/>
    </row>
    <row r="330">
      <c r="A330" s="7" t="n"/>
      <c r="B330" s="7" t="n"/>
      <c r="C330" s="7" t="n"/>
      <c r="D330" s="7" t="n"/>
      <c r="E330" s="7" t="n"/>
      <c r="F330" s="7" t="n"/>
      <c r="G330" s="7" t="n"/>
      <c r="H330" s="7" t="n"/>
      <c r="I330" s="7" t="n"/>
      <c r="J330" s="9">
        <f>IF(OR(I330="",H330="Opted out",H330="Replied - no"),"",IF(TODAY()&gt;I330,"OVERDUE",""))</f>
        <v/>
      </c>
      <c r="K330" s="7" t="n"/>
    </row>
    <row r="331">
      <c r="A331" s="7" t="n"/>
      <c r="B331" s="7" t="n"/>
      <c r="C331" s="7" t="n"/>
      <c r="D331" s="7" t="n"/>
      <c r="E331" s="7" t="n"/>
      <c r="F331" s="7" t="n"/>
      <c r="G331" s="7" t="n"/>
      <c r="H331" s="7" t="n"/>
      <c r="I331" s="7" t="n"/>
      <c r="J331" s="9">
        <f>IF(OR(I331="",H331="Opted out",H331="Replied - no"),"",IF(TODAY()&gt;I331,"OVERDUE",""))</f>
        <v/>
      </c>
      <c r="K331" s="7" t="n"/>
    </row>
    <row r="332">
      <c r="A332" s="7" t="n"/>
      <c r="B332" s="7" t="n"/>
      <c r="C332" s="7" t="n"/>
      <c r="D332" s="7" t="n"/>
      <c r="E332" s="7" t="n"/>
      <c r="F332" s="7" t="n"/>
      <c r="G332" s="7" t="n"/>
      <c r="H332" s="7" t="n"/>
      <c r="I332" s="7" t="n"/>
      <c r="J332" s="9">
        <f>IF(OR(I332="",H332="Opted out",H332="Replied - no"),"",IF(TODAY()&gt;I332,"OVERDUE",""))</f>
        <v/>
      </c>
      <c r="K332" s="7" t="n"/>
    </row>
    <row r="333">
      <c r="A333" s="7" t="n"/>
      <c r="B333" s="7" t="n"/>
      <c r="C333" s="7" t="n"/>
      <c r="D333" s="7" t="n"/>
      <c r="E333" s="7" t="n"/>
      <c r="F333" s="7" t="n"/>
      <c r="G333" s="7" t="n"/>
      <c r="H333" s="7" t="n"/>
      <c r="I333" s="7" t="n"/>
      <c r="J333" s="9">
        <f>IF(OR(I333="",H333="Opted out",H333="Replied - no"),"",IF(TODAY()&gt;I333,"OVERDUE",""))</f>
        <v/>
      </c>
      <c r="K333" s="7" t="n"/>
    </row>
    <row r="334">
      <c r="A334" s="7" t="n"/>
      <c r="B334" s="7" t="n"/>
      <c r="C334" s="7" t="n"/>
      <c r="D334" s="7" t="n"/>
      <c r="E334" s="7" t="n"/>
      <c r="F334" s="7" t="n"/>
      <c r="G334" s="7" t="n"/>
      <c r="H334" s="7" t="n"/>
      <c r="I334" s="7" t="n"/>
      <c r="J334" s="9">
        <f>IF(OR(I334="",H334="Opted out",H334="Replied - no"),"",IF(TODAY()&gt;I334,"OVERDUE",""))</f>
        <v/>
      </c>
      <c r="K334" s="7" t="n"/>
    </row>
    <row r="335">
      <c r="A335" s="7" t="n"/>
      <c r="B335" s="7" t="n"/>
      <c r="C335" s="7" t="n"/>
      <c r="D335" s="7" t="n"/>
      <c r="E335" s="7" t="n"/>
      <c r="F335" s="7" t="n"/>
      <c r="G335" s="7" t="n"/>
      <c r="H335" s="7" t="n"/>
      <c r="I335" s="7" t="n"/>
      <c r="J335" s="9">
        <f>IF(OR(I335="",H335="Opted out",H335="Replied - no"),"",IF(TODAY()&gt;I335,"OVERDUE",""))</f>
        <v/>
      </c>
      <c r="K335" s="7" t="n"/>
    </row>
    <row r="336">
      <c r="A336" s="7" t="n"/>
      <c r="B336" s="7" t="n"/>
      <c r="C336" s="7" t="n"/>
      <c r="D336" s="7" t="n"/>
      <c r="E336" s="7" t="n"/>
      <c r="F336" s="7" t="n"/>
      <c r="G336" s="7" t="n"/>
      <c r="H336" s="7" t="n"/>
      <c r="I336" s="7" t="n"/>
      <c r="J336" s="9">
        <f>IF(OR(I336="",H336="Opted out",H336="Replied - no"),"",IF(TODAY()&gt;I336,"OVERDUE",""))</f>
        <v/>
      </c>
      <c r="K336" s="7" t="n"/>
    </row>
    <row r="337">
      <c r="A337" s="7" t="n"/>
      <c r="B337" s="7" t="n"/>
      <c r="C337" s="7" t="n"/>
      <c r="D337" s="7" t="n"/>
      <c r="E337" s="7" t="n"/>
      <c r="F337" s="7" t="n"/>
      <c r="G337" s="7" t="n"/>
      <c r="H337" s="7" t="n"/>
      <c r="I337" s="7" t="n"/>
      <c r="J337" s="9">
        <f>IF(OR(I337="",H337="Opted out",H337="Replied - no"),"",IF(TODAY()&gt;I337,"OVERDUE",""))</f>
        <v/>
      </c>
      <c r="K337" s="7" t="n"/>
    </row>
    <row r="338">
      <c r="A338" s="7" t="n"/>
      <c r="B338" s="7" t="n"/>
      <c r="C338" s="7" t="n"/>
      <c r="D338" s="7" t="n"/>
      <c r="E338" s="7" t="n"/>
      <c r="F338" s="7" t="n"/>
      <c r="G338" s="7" t="n"/>
      <c r="H338" s="7" t="n"/>
      <c r="I338" s="7" t="n"/>
      <c r="J338" s="9">
        <f>IF(OR(I338="",H338="Opted out",H338="Replied - no"),"",IF(TODAY()&gt;I338,"OVERDUE",""))</f>
        <v/>
      </c>
      <c r="K338" s="7" t="n"/>
    </row>
    <row r="339">
      <c r="A339" s="7" t="n"/>
      <c r="B339" s="7" t="n"/>
      <c r="C339" s="7" t="n"/>
      <c r="D339" s="7" t="n"/>
      <c r="E339" s="7" t="n"/>
      <c r="F339" s="7" t="n"/>
      <c r="G339" s="7" t="n"/>
      <c r="H339" s="7" t="n"/>
      <c r="I339" s="7" t="n"/>
      <c r="J339" s="9">
        <f>IF(OR(I339="",H339="Opted out",H339="Replied - no"),"",IF(TODAY()&gt;I339,"OVERDUE",""))</f>
        <v/>
      </c>
      <c r="K339" s="7" t="n"/>
    </row>
    <row r="340">
      <c r="A340" s="7" t="n"/>
      <c r="B340" s="7" t="n"/>
      <c r="C340" s="7" t="n"/>
      <c r="D340" s="7" t="n"/>
      <c r="E340" s="7" t="n"/>
      <c r="F340" s="7" t="n"/>
      <c r="G340" s="7" t="n"/>
      <c r="H340" s="7" t="n"/>
      <c r="I340" s="7" t="n"/>
      <c r="J340" s="9">
        <f>IF(OR(I340="",H340="Opted out",H340="Replied - no"),"",IF(TODAY()&gt;I340,"OVERDUE",""))</f>
        <v/>
      </c>
      <c r="K340" s="7" t="n"/>
    </row>
    <row r="341">
      <c r="A341" s="7" t="n"/>
      <c r="B341" s="7" t="n"/>
      <c r="C341" s="7" t="n"/>
      <c r="D341" s="7" t="n"/>
      <c r="E341" s="7" t="n"/>
      <c r="F341" s="7" t="n"/>
      <c r="G341" s="7" t="n"/>
      <c r="H341" s="7" t="n"/>
      <c r="I341" s="7" t="n"/>
      <c r="J341" s="9">
        <f>IF(OR(I341="",H341="Opted out",H341="Replied - no"),"",IF(TODAY()&gt;I341,"OVERDUE",""))</f>
        <v/>
      </c>
      <c r="K341" s="7" t="n"/>
    </row>
    <row r="342">
      <c r="A342" s="7" t="n"/>
      <c r="B342" s="7" t="n"/>
      <c r="C342" s="7" t="n"/>
      <c r="D342" s="7" t="n"/>
      <c r="E342" s="7" t="n"/>
      <c r="F342" s="7" t="n"/>
      <c r="G342" s="7" t="n"/>
      <c r="H342" s="7" t="n"/>
      <c r="I342" s="7" t="n"/>
      <c r="J342" s="9">
        <f>IF(OR(I342="",H342="Opted out",H342="Replied - no"),"",IF(TODAY()&gt;I342,"OVERDUE",""))</f>
        <v/>
      </c>
      <c r="K342" s="7" t="n"/>
    </row>
    <row r="343">
      <c r="A343" s="7" t="n"/>
      <c r="B343" s="7" t="n"/>
      <c r="C343" s="7" t="n"/>
      <c r="D343" s="7" t="n"/>
      <c r="E343" s="7" t="n"/>
      <c r="F343" s="7" t="n"/>
      <c r="G343" s="7" t="n"/>
      <c r="H343" s="7" t="n"/>
      <c r="I343" s="7" t="n"/>
      <c r="J343" s="9">
        <f>IF(OR(I343="",H343="Opted out",H343="Replied - no"),"",IF(TODAY()&gt;I343,"OVERDUE",""))</f>
        <v/>
      </c>
      <c r="K343" s="7" t="n"/>
    </row>
    <row r="344">
      <c r="A344" s="7" t="n"/>
      <c r="B344" s="7" t="n"/>
      <c r="C344" s="7" t="n"/>
      <c r="D344" s="7" t="n"/>
      <c r="E344" s="7" t="n"/>
      <c r="F344" s="7" t="n"/>
      <c r="G344" s="7" t="n"/>
      <c r="H344" s="7" t="n"/>
      <c r="I344" s="7" t="n"/>
      <c r="J344" s="9">
        <f>IF(OR(I344="",H344="Opted out",H344="Replied - no"),"",IF(TODAY()&gt;I344,"OVERDUE",""))</f>
        <v/>
      </c>
      <c r="K344" s="7" t="n"/>
    </row>
    <row r="345">
      <c r="A345" s="7" t="n"/>
      <c r="B345" s="7" t="n"/>
      <c r="C345" s="7" t="n"/>
      <c r="D345" s="7" t="n"/>
      <c r="E345" s="7" t="n"/>
      <c r="F345" s="7" t="n"/>
      <c r="G345" s="7" t="n"/>
      <c r="H345" s="7" t="n"/>
      <c r="I345" s="7" t="n"/>
      <c r="J345" s="9">
        <f>IF(OR(I345="",H345="Opted out",H345="Replied - no"),"",IF(TODAY()&gt;I345,"OVERDUE",""))</f>
        <v/>
      </c>
      <c r="K345" s="7" t="n"/>
    </row>
    <row r="346">
      <c r="A346" s="7" t="n"/>
      <c r="B346" s="7" t="n"/>
      <c r="C346" s="7" t="n"/>
      <c r="D346" s="7" t="n"/>
      <c r="E346" s="7" t="n"/>
      <c r="F346" s="7" t="n"/>
      <c r="G346" s="7" t="n"/>
      <c r="H346" s="7" t="n"/>
      <c r="I346" s="7" t="n"/>
      <c r="J346" s="9">
        <f>IF(OR(I346="",H346="Opted out",H346="Replied - no"),"",IF(TODAY()&gt;I346,"OVERDUE",""))</f>
        <v/>
      </c>
      <c r="K346" s="7" t="n"/>
    </row>
    <row r="347">
      <c r="A347" s="7" t="n"/>
      <c r="B347" s="7" t="n"/>
      <c r="C347" s="7" t="n"/>
      <c r="D347" s="7" t="n"/>
      <c r="E347" s="7" t="n"/>
      <c r="F347" s="7" t="n"/>
      <c r="G347" s="7" t="n"/>
      <c r="H347" s="7" t="n"/>
      <c r="I347" s="7" t="n"/>
      <c r="J347" s="9">
        <f>IF(OR(I347="",H347="Opted out",H347="Replied - no"),"",IF(TODAY()&gt;I347,"OVERDUE",""))</f>
        <v/>
      </c>
      <c r="K347" s="7" t="n"/>
    </row>
    <row r="348">
      <c r="A348" s="7" t="n"/>
      <c r="B348" s="7" t="n"/>
      <c r="C348" s="7" t="n"/>
      <c r="D348" s="7" t="n"/>
      <c r="E348" s="7" t="n"/>
      <c r="F348" s="7" t="n"/>
      <c r="G348" s="7" t="n"/>
      <c r="H348" s="7" t="n"/>
      <c r="I348" s="7" t="n"/>
      <c r="J348" s="9">
        <f>IF(OR(I348="",H348="Opted out",H348="Replied - no"),"",IF(TODAY()&gt;I348,"OVERDUE",""))</f>
        <v/>
      </c>
      <c r="K348" s="7" t="n"/>
    </row>
    <row r="349">
      <c r="A349" s="7" t="n"/>
      <c r="B349" s="7" t="n"/>
      <c r="C349" s="7" t="n"/>
      <c r="D349" s="7" t="n"/>
      <c r="E349" s="7" t="n"/>
      <c r="F349" s="7" t="n"/>
      <c r="G349" s="7" t="n"/>
      <c r="H349" s="7" t="n"/>
      <c r="I349" s="7" t="n"/>
      <c r="J349" s="9">
        <f>IF(OR(I349="",H349="Opted out",H349="Replied - no"),"",IF(TODAY()&gt;I349,"OVERDUE",""))</f>
        <v/>
      </c>
      <c r="K349" s="7" t="n"/>
    </row>
    <row r="350">
      <c r="A350" s="7" t="n"/>
      <c r="B350" s="7" t="n"/>
      <c r="C350" s="7" t="n"/>
      <c r="D350" s="7" t="n"/>
      <c r="E350" s="7" t="n"/>
      <c r="F350" s="7" t="n"/>
      <c r="G350" s="7" t="n"/>
      <c r="H350" s="7" t="n"/>
      <c r="I350" s="7" t="n"/>
      <c r="J350" s="9">
        <f>IF(OR(I350="",H350="Opted out",H350="Replied - no"),"",IF(TODAY()&gt;I350,"OVERDUE",""))</f>
        <v/>
      </c>
      <c r="K350" s="7" t="n"/>
    </row>
    <row r="351">
      <c r="A351" s="7" t="n"/>
      <c r="B351" s="7" t="n"/>
      <c r="C351" s="7" t="n"/>
      <c r="D351" s="7" t="n"/>
      <c r="E351" s="7" t="n"/>
      <c r="F351" s="7" t="n"/>
      <c r="G351" s="7" t="n"/>
      <c r="H351" s="7" t="n"/>
      <c r="I351" s="7" t="n"/>
      <c r="J351" s="9">
        <f>IF(OR(I351="",H351="Opted out",H351="Replied - no"),"",IF(TODAY()&gt;I351,"OVERDUE",""))</f>
        <v/>
      </c>
      <c r="K351" s="7" t="n"/>
    </row>
    <row r="352">
      <c r="A352" s="7" t="n"/>
      <c r="B352" s="7" t="n"/>
      <c r="C352" s="7" t="n"/>
      <c r="D352" s="7" t="n"/>
      <c r="E352" s="7" t="n"/>
      <c r="F352" s="7" t="n"/>
      <c r="G352" s="7" t="n"/>
      <c r="H352" s="7" t="n"/>
      <c r="I352" s="7" t="n"/>
      <c r="J352" s="9">
        <f>IF(OR(I352="",H352="Opted out",H352="Replied - no"),"",IF(TODAY()&gt;I352,"OVERDUE",""))</f>
        <v/>
      </c>
      <c r="K352" s="7" t="n"/>
    </row>
    <row r="353">
      <c r="A353" s="7" t="n"/>
      <c r="B353" s="7" t="n"/>
      <c r="C353" s="7" t="n"/>
      <c r="D353" s="7" t="n"/>
      <c r="E353" s="7" t="n"/>
      <c r="F353" s="7" t="n"/>
      <c r="G353" s="7" t="n"/>
      <c r="H353" s="7" t="n"/>
      <c r="I353" s="7" t="n"/>
      <c r="J353" s="9">
        <f>IF(OR(I353="",H353="Opted out",H353="Replied - no"),"",IF(TODAY()&gt;I353,"OVERDUE",""))</f>
        <v/>
      </c>
      <c r="K353" s="7" t="n"/>
    </row>
    <row r="354">
      <c r="A354" s="7" t="n"/>
      <c r="B354" s="7" t="n"/>
      <c r="C354" s="7" t="n"/>
      <c r="D354" s="7" t="n"/>
      <c r="E354" s="7" t="n"/>
      <c r="F354" s="7" t="n"/>
      <c r="G354" s="7" t="n"/>
      <c r="H354" s="7" t="n"/>
      <c r="I354" s="7" t="n"/>
      <c r="J354" s="9">
        <f>IF(OR(I354="",H354="Opted out",H354="Replied - no"),"",IF(TODAY()&gt;I354,"OVERDUE",""))</f>
        <v/>
      </c>
      <c r="K354" s="7" t="n"/>
    </row>
    <row r="355">
      <c r="A355" s="7" t="n"/>
      <c r="B355" s="7" t="n"/>
      <c r="C355" s="7" t="n"/>
      <c r="D355" s="7" t="n"/>
      <c r="E355" s="7" t="n"/>
      <c r="F355" s="7" t="n"/>
      <c r="G355" s="7" t="n"/>
      <c r="H355" s="7" t="n"/>
      <c r="I355" s="7" t="n"/>
      <c r="J355" s="9">
        <f>IF(OR(I355="",H355="Opted out",H355="Replied - no"),"",IF(TODAY()&gt;I355,"OVERDUE",""))</f>
        <v/>
      </c>
      <c r="K355" s="7" t="n"/>
    </row>
    <row r="356">
      <c r="A356" s="7" t="n"/>
      <c r="B356" s="7" t="n"/>
      <c r="C356" s="7" t="n"/>
      <c r="D356" s="7" t="n"/>
      <c r="E356" s="7" t="n"/>
      <c r="F356" s="7" t="n"/>
      <c r="G356" s="7" t="n"/>
      <c r="H356" s="7" t="n"/>
      <c r="I356" s="7" t="n"/>
      <c r="J356" s="9">
        <f>IF(OR(I356="",H356="Opted out",H356="Replied - no"),"",IF(TODAY()&gt;I356,"OVERDUE",""))</f>
        <v/>
      </c>
      <c r="K356" s="7" t="n"/>
    </row>
    <row r="357">
      <c r="A357" s="7" t="n"/>
      <c r="B357" s="7" t="n"/>
      <c r="C357" s="7" t="n"/>
      <c r="D357" s="7" t="n"/>
      <c r="E357" s="7" t="n"/>
      <c r="F357" s="7" t="n"/>
      <c r="G357" s="7" t="n"/>
      <c r="H357" s="7" t="n"/>
      <c r="I357" s="7" t="n"/>
      <c r="J357" s="9">
        <f>IF(OR(I357="",H357="Opted out",H357="Replied - no"),"",IF(TODAY()&gt;I357,"OVERDUE",""))</f>
        <v/>
      </c>
      <c r="K357" s="7" t="n"/>
    </row>
    <row r="358">
      <c r="A358" s="7" t="n"/>
      <c r="B358" s="7" t="n"/>
      <c r="C358" s="7" t="n"/>
      <c r="D358" s="7" t="n"/>
      <c r="E358" s="7" t="n"/>
      <c r="F358" s="7" t="n"/>
      <c r="G358" s="7" t="n"/>
      <c r="H358" s="7" t="n"/>
      <c r="I358" s="7" t="n"/>
      <c r="J358" s="9">
        <f>IF(OR(I358="",H358="Opted out",H358="Replied - no"),"",IF(TODAY()&gt;I358,"OVERDUE",""))</f>
        <v/>
      </c>
      <c r="K358" s="7" t="n"/>
    </row>
    <row r="359">
      <c r="A359" s="7" t="n"/>
      <c r="B359" s="7" t="n"/>
      <c r="C359" s="7" t="n"/>
      <c r="D359" s="7" t="n"/>
      <c r="E359" s="7" t="n"/>
      <c r="F359" s="7" t="n"/>
      <c r="G359" s="7" t="n"/>
      <c r="H359" s="7" t="n"/>
      <c r="I359" s="7" t="n"/>
      <c r="J359" s="9">
        <f>IF(OR(I359="",H359="Opted out",H359="Replied - no"),"",IF(TODAY()&gt;I359,"OVERDUE",""))</f>
        <v/>
      </c>
      <c r="K359" s="7" t="n"/>
    </row>
    <row r="360">
      <c r="A360" s="7" t="n"/>
      <c r="B360" s="7" t="n"/>
      <c r="C360" s="7" t="n"/>
      <c r="D360" s="7" t="n"/>
      <c r="E360" s="7" t="n"/>
      <c r="F360" s="7" t="n"/>
      <c r="G360" s="7" t="n"/>
      <c r="H360" s="7" t="n"/>
      <c r="I360" s="7" t="n"/>
      <c r="J360" s="9">
        <f>IF(OR(I360="",H360="Opted out",H360="Replied - no"),"",IF(TODAY()&gt;I360,"OVERDUE",""))</f>
        <v/>
      </c>
      <c r="K360" s="7" t="n"/>
    </row>
    <row r="361">
      <c r="A361" s="7" t="n"/>
      <c r="B361" s="7" t="n"/>
      <c r="C361" s="7" t="n"/>
      <c r="D361" s="7" t="n"/>
      <c r="E361" s="7" t="n"/>
      <c r="F361" s="7" t="n"/>
      <c r="G361" s="7" t="n"/>
      <c r="H361" s="7" t="n"/>
      <c r="I361" s="7" t="n"/>
      <c r="J361" s="9">
        <f>IF(OR(I361="",H361="Opted out",H361="Replied - no"),"",IF(TODAY()&gt;I361,"OVERDUE",""))</f>
        <v/>
      </c>
      <c r="K361" s="7" t="n"/>
    </row>
    <row r="362">
      <c r="A362" s="7" t="n"/>
      <c r="B362" s="7" t="n"/>
      <c r="C362" s="7" t="n"/>
      <c r="D362" s="7" t="n"/>
      <c r="E362" s="7" t="n"/>
      <c r="F362" s="7" t="n"/>
      <c r="G362" s="7" t="n"/>
      <c r="H362" s="7" t="n"/>
      <c r="I362" s="7" t="n"/>
      <c r="J362" s="9">
        <f>IF(OR(I362="",H362="Opted out",H362="Replied - no"),"",IF(TODAY()&gt;I362,"OVERDUE",""))</f>
        <v/>
      </c>
      <c r="K362" s="7" t="n"/>
    </row>
    <row r="363">
      <c r="A363" s="7" t="n"/>
      <c r="B363" s="7" t="n"/>
      <c r="C363" s="7" t="n"/>
      <c r="D363" s="7" t="n"/>
      <c r="E363" s="7" t="n"/>
      <c r="F363" s="7" t="n"/>
      <c r="G363" s="7" t="n"/>
      <c r="H363" s="7" t="n"/>
      <c r="I363" s="7" t="n"/>
      <c r="J363" s="9">
        <f>IF(OR(I363="",H363="Opted out",H363="Replied - no"),"",IF(TODAY()&gt;I363,"OVERDUE",""))</f>
        <v/>
      </c>
      <c r="K363" s="7" t="n"/>
    </row>
    <row r="364">
      <c r="A364" s="7" t="n"/>
      <c r="B364" s="7" t="n"/>
      <c r="C364" s="7" t="n"/>
      <c r="D364" s="7" t="n"/>
      <c r="E364" s="7" t="n"/>
      <c r="F364" s="7" t="n"/>
      <c r="G364" s="7" t="n"/>
      <c r="H364" s="7" t="n"/>
      <c r="I364" s="7" t="n"/>
      <c r="J364" s="9">
        <f>IF(OR(I364="",H364="Opted out",H364="Replied - no"),"",IF(TODAY()&gt;I364,"OVERDUE",""))</f>
        <v/>
      </c>
      <c r="K364" s="7" t="n"/>
    </row>
    <row r="365">
      <c r="A365" s="7" t="n"/>
      <c r="B365" s="7" t="n"/>
      <c r="C365" s="7" t="n"/>
      <c r="D365" s="7" t="n"/>
      <c r="E365" s="7" t="n"/>
      <c r="F365" s="7" t="n"/>
      <c r="G365" s="7" t="n"/>
      <c r="H365" s="7" t="n"/>
      <c r="I365" s="7" t="n"/>
      <c r="J365" s="9">
        <f>IF(OR(I365="",H365="Opted out",H365="Replied - no"),"",IF(TODAY()&gt;I365,"OVERDUE",""))</f>
        <v/>
      </c>
      <c r="K365" s="7" t="n"/>
    </row>
    <row r="366">
      <c r="A366" s="7" t="n"/>
      <c r="B366" s="7" t="n"/>
      <c r="C366" s="7" t="n"/>
      <c r="D366" s="7" t="n"/>
      <c r="E366" s="7" t="n"/>
      <c r="F366" s="7" t="n"/>
      <c r="G366" s="7" t="n"/>
      <c r="H366" s="7" t="n"/>
      <c r="I366" s="7" t="n"/>
      <c r="J366" s="9">
        <f>IF(OR(I366="",H366="Opted out",H366="Replied - no"),"",IF(TODAY()&gt;I366,"OVERDUE",""))</f>
        <v/>
      </c>
      <c r="K366" s="7" t="n"/>
    </row>
    <row r="367">
      <c r="A367" s="7" t="n"/>
      <c r="B367" s="7" t="n"/>
      <c r="C367" s="7" t="n"/>
      <c r="D367" s="7" t="n"/>
      <c r="E367" s="7" t="n"/>
      <c r="F367" s="7" t="n"/>
      <c r="G367" s="7" t="n"/>
      <c r="H367" s="7" t="n"/>
      <c r="I367" s="7" t="n"/>
      <c r="J367" s="9">
        <f>IF(OR(I367="",H367="Opted out",H367="Replied - no"),"",IF(TODAY()&gt;I367,"OVERDUE",""))</f>
        <v/>
      </c>
      <c r="K367" s="7" t="n"/>
    </row>
    <row r="368">
      <c r="A368" s="7" t="n"/>
      <c r="B368" s="7" t="n"/>
      <c r="C368" s="7" t="n"/>
      <c r="D368" s="7" t="n"/>
      <c r="E368" s="7" t="n"/>
      <c r="F368" s="7" t="n"/>
      <c r="G368" s="7" t="n"/>
      <c r="H368" s="7" t="n"/>
      <c r="I368" s="7" t="n"/>
      <c r="J368" s="9">
        <f>IF(OR(I368="",H368="Opted out",H368="Replied - no"),"",IF(TODAY()&gt;I368,"OVERDUE",""))</f>
        <v/>
      </c>
      <c r="K368" s="7" t="n"/>
    </row>
    <row r="369">
      <c r="A369" s="7" t="n"/>
      <c r="B369" s="7" t="n"/>
      <c r="C369" s="7" t="n"/>
      <c r="D369" s="7" t="n"/>
      <c r="E369" s="7" t="n"/>
      <c r="F369" s="7" t="n"/>
      <c r="G369" s="7" t="n"/>
      <c r="H369" s="7" t="n"/>
      <c r="I369" s="7" t="n"/>
      <c r="J369" s="9">
        <f>IF(OR(I369="",H369="Opted out",H369="Replied - no"),"",IF(TODAY()&gt;I369,"OVERDUE",""))</f>
        <v/>
      </c>
      <c r="K369" s="7" t="n"/>
    </row>
    <row r="370">
      <c r="A370" s="7" t="n"/>
      <c r="B370" s="7" t="n"/>
      <c r="C370" s="7" t="n"/>
      <c r="D370" s="7" t="n"/>
      <c r="E370" s="7" t="n"/>
      <c r="F370" s="7" t="n"/>
      <c r="G370" s="7" t="n"/>
      <c r="H370" s="7" t="n"/>
      <c r="I370" s="7" t="n"/>
      <c r="J370" s="9">
        <f>IF(OR(I370="",H370="Opted out",H370="Replied - no"),"",IF(TODAY()&gt;I370,"OVERDUE",""))</f>
        <v/>
      </c>
      <c r="K370" s="7" t="n"/>
    </row>
    <row r="371">
      <c r="A371" s="7" t="n"/>
      <c r="B371" s="7" t="n"/>
      <c r="C371" s="7" t="n"/>
      <c r="D371" s="7" t="n"/>
      <c r="E371" s="7" t="n"/>
      <c r="F371" s="7" t="n"/>
      <c r="G371" s="7" t="n"/>
      <c r="H371" s="7" t="n"/>
      <c r="I371" s="7" t="n"/>
      <c r="J371" s="9">
        <f>IF(OR(I371="",H371="Opted out",H371="Replied - no"),"",IF(TODAY()&gt;I371,"OVERDUE",""))</f>
        <v/>
      </c>
      <c r="K371" s="7" t="n"/>
    </row>
    <row r="372">
      <c r="A372" s="7" t="n"/>
      <c r="B372" s="7" t="n"/>
      <c r="C372" s="7" t="n"/>
      <c r="D372" s="7" t="n"/>
      <c r="E372" s="7" t="n"/>
      <c r="F372" s="7" t="n"/>
      <c r="G372" s="7" t="n"/>
      <c r="H372" s="7" t="n"/>
      <c r="I372" s="7" t="n"/>
      <c r="J372" s="9">
        <f>IF(OR(I372="",H372="Opted out",H372="Replied - no"),"",IF(TODAY()&gt;I372,"OVERDUE",""))</f>
        <v/>
      </c>
      <c r="K372" s="7" t="n"/>
    </row>
    <row r="373">
      <c r="A373" s="7" t="n"/>
      <c r="B373" s="7" t="n"/>
      <c r="C373" s="7" t="n"/>
      <c r="D373" s="7" t="n"/>
      <c r="E373" s="7" t="n"/>
      <c r="F373" s="7" t="n"/>
      <c r="G373" s="7" t="n"/>
      <c r="H373" s="7" t="n"/>
      <c r="I373" s="7" t="n"/>
      <c r="J373" s="9">
        <f>IF(OR(I373="",H373="Opted out",H373="Replied - no"),"",IF(TODAY()&gt;I373,"OVERDUE",""))</f>
        <v/>
      </c>
      <c r="K373" s="7" t="n"/>
    </row>
    <row r="374">
      <c r="A374" s="7" t="n"/>
      <c r="B374" s="7" t="n"/>
      <c r="C374" s="7" t="n"/>
      <c r="D374" s="7" t="n"/>
      <c r="E374" s="7" t="n"/>
      <c r="F374" s="7" t="n"/>
      <c r="G374" s="7" t="n"/>
      <c r="H374" s="7" t="n"/>
      <c r="I374" s="7" t="n"/>
      <c r="J374" s="9">
        <f>IF(OR(I374="",H374="Opted out",H374="Replied - no"),"",IF(TODAY()&gt;I374,"OVERDUE",""))</f>
        <v/>
      </c>
      <c r="K374" s="7" t="n"/>
    </row>
    <row r="375">
      <c r="A375" s="7" t="n"/>
      <c r="B375" s="7" t="n"/>
      <c r="C375" s="7" t="n"/>
      <c r="D375" s="7" t="n"/>
      <c r="E375" s="7" t="n"/>
      <c r="F375" s="7" t="n"/>
      <c r="G375" s="7" t="n"/>
      <c r="H375" s="7" t="n"/>
      <c r="I375" s="7" t="n"/>
      <c r="J375" s="9">
        <f>IF(OR(I375="",H375="Opted out",H375="Replied - no"),"",IF(TODAY()&gt;I375,"OVERDUE",""))</f>
        <v/>
      </c>
      <c r="K375" s="7" t="n"/>
    </row>
    <row r="376">
      <c r="A376" s="7" t="n"/>
      <c r="B376" s="7" t="n"/>
      <c r="C376" s="7" t="n"/>
      <c r="D376" s="7" t="n"/>
      <c r="E376" s="7" t="n"/>
      <c r="F376" s="7" t="n"/>
      <c r="G376" s="7" t="n"/>
      <c r="H376" s="7" t="n"/>
      <c r="I376" s="7" t="n"/>
      <c r="J376" s="9">
        <f>IF(OR(I376="",H376="Opted out",H376="Replied - no"),"",IF(TODAY()&gt;I376,"OVERDUE",""))</f>
        <v/>
      </c>
      <c r="K376" s="7" t="n"/>
    </row>
    <row r="377">
      <c r="A377" s="7" t="n"/>
      <c r="B377" s="7" t="n"/>
      <c r="C377" s="7" t="n"/>
      <c r="D377" s="7" t="n"/>
      <c r="E377" s="7" t="n"/>
      <c r="F377" s="7" t="n"/>
      <c r="G377" s="7" t="n"/>
      <c r="H377" s="7" t="n"/>
      <c r="I377" s="7" t="n"/>
      <c r="J377" s="9">
        <f>IF(OR(I377="",H377="Opted out",H377="Replied - no"),"",IF(TODAY()&gt;I377,"OVERDUE",""))</f>
        <v/>
      </c>
      <c r="K377" s="7" t="n"/>
    </row>
    <row r="378">
      <c r="A378" s="7" t="n"/>
      <c r="B378" s="7" t="n"/>
      <c r="C378" s="7" t="n"/>
      <c r="D378" s="7" t="n"/>
      <c r="E378" s="7" t="n"/>
      <c r="F378" s="7" t="n"/>
      <c r="G378" s="7" t="n"/>
      <c r="H378" s="7" t="n"/>
      <c r="I378" s="7" t="n"/>
      <c r="J378" s="9">
        <f>IF(OR(I378="",H378="Opted out",H378="Replied - no"),"",IF(TODAY()&gt;I378,"OVERDUE",""))</f>
        <v/>
      </c>
      <c r="K378" s="7" t="n"/>
    </row>
    <row r="379">
      <c r="A379" s="7" t="n"/>
      <c r="B379" s="7" t="n"/>
      <c r="C379" s="7" t="n"/>
      <c r="D379" s="7" t="n"/>
      <c r="E379" s="7" t="n"/>
      <c r="F379" s="7" t="n"/>
      <c r="G379" s="7" t="n"/>
      <c r="H379" s="7" t="n"/>
      <c r="I379" s="7" t="n"/>
      <c r="J379" s="9">
        <f>IF(OR(I379="",H379="Opted out",H379="Replied - no"),"",IF(TODAY()&gt;I379,"OVERDUE",""))</f>
        <v/>
      </c>
      <c r="K379" s="7" t="n"/>
    </row>
    <row r="380">
      <c r="A380" s="7" t="n"/>
      <c r="B380" s="7" t="n"/>
      <c r="C380" s="7" t="n"/>
      <c r="D380" s="7" t="n"/>
      <c r="E380" s="7" t="n"/>
      <c r="F380" s="7" t="n"/>
      <c r="G380" s="7" t="n"/>
      <c r="H380" s="7" t="n"/>
      <c r="I380" s="7" t="n"/>
      <c r="J380" s="9">
        <f>IF(OR(I380="",H380="Opted out",H380="Replied - no"),"",IF(TODAY()&gt;I380,"OVERDUE",""))</f>
        <v/>
      </c>
      <c r="K380" s="7" t="n"/>
    </row>
    <row r="381">
      <c r="A381" s="7" t="n"/>
      <c r="B381" s="7" t="n"/>
      <c r="C381" s="7" t="n"/>
      <c r="D381" s="7" t="n"/>
      <c r="E381" s="7" t="n"/>
      <c r="F381" s="7" t="n"/>
      <c r="G381" s="7" t="n"/>
      <c r="H381" s="7" t="n"/>
      <c r="I381" s="7" t="n"/>
      <c r="J381" s="9">
        <f>IF(OR(I381="",H381="Opted out",H381="Replied - no"),"",IF(TODAY()&gt;I381,"OVERDUE",""))</f>
        <v/>
      </c>
      <c r="K381" s="7" t="n"/>
    </row>
    <row r="382">
      <c r="A382" s="7" t="n"/>
      <c r="B382" s="7" t="n"/>
      <c r="C382" s="7" t="n"/>
      <c r="D382" s="7" t="n"/>
      <c r="E382" s="7" t="n"/>
      <c r="F382" s="7" t="n"/>
      <c r="G382" s="7" t="n"/>
      <c r="H382" s="7" t="n"/>
      <c r="I382" s="7" t="n"/>
      <c r="J382" s="9">
        <f>IF(OR(I382="",H382="Opted out",H382="Replied - no"),"",IF(TODAY()&gt;I382,"OVERDUE",""))</f>
        <v/>
      </c>
      <c r="K382" s="7" t="n"/>
    </row>
    <row r="383">
      <c r="A383" s="7" t="n"/>
      <c r="B383" s="7" t="n"/>
      <c r="C383" s="7" t="n"/>
      <c r="D383" s="7" t="n"/>
      <c r="E383" s="7" t="n"/>
      <c r="F383" s="7" t="n"/>
      <c r="G383" s="7" t="n"/>
      <c r="H383" s="7" t="n"/>
      <c r="I383" s="7" t="n"/>
      <c r="J383" s="9">
        <f>IF(OR(I383="",H383="Opted out",H383="Replied - no"),"",IF(TODAY()&gt;I383,"OVERDUE",""))</f>
        <v/>
      </c>
      <c r="K383" s="7" t="n"/>
    </row>
    <row r="384">
      <c r="A384" s="7" t="n"/>
      <c r="B384" s="7" t="n"/>
      <c r="C384" s="7" t="n"/>
      <c r="D384" s="7" t="n"/>
      <c r="E384" s="7" t="n"/>
      <c r="F384" s="7" t="n"/>
      <c r="G384" s="7" t="n"/>
      <c r="H384" s="7" t="n"/>
      <c r="I384" s="7" t="n"/>
      <c r="J384" s="9">
        <f>IF(OR(I384="",H384="Opted out",H384="Replied - no"),"",IF(TODAY()&gt;I384,"OVERDUE",""))</f>
        <v/>
      </c>
      <c r="K384" s="7" t="n"/>
    </row>
    <row r="385">
      <c r="A385" s="7" t="n"/>
      <c r="B385" s="7" t="n"/>
      <c r="C385" s="7" t="n"/>
      <c r="D385" s="7" t="n"/>
      <c r="E385" s="7" t="n"/>
      <c r="F385" s="7" t="n"/>
      <c r="G385" s="7" t="n"/>
      <c r="H385" s="7" t="n"/>
      <c r="I385" s="7" t="n"/>
      <c r="J385" s="9">
        <f>IF(OR(I385="",H385="Opted out",H385="Replied - no"),"",IF(TODAY()&gt;I385,"OVERDUE",""))</f>
        <v/>
      </c>
      <c r="K385" s="7" t="n"/>
    </row>
    <row r="386">
      <c r="A386" s="7" t="n"/>
      <c r="B386" s="7" t="n"/>
      <c r="C386" s="7" t="n"/>
      <c r="D386" s="7" t="n"/>
      <c r="E386" s="7" t="n"/>
      <c r="F386" s="7" t="n"/>
      <c r="G386" s="7" t="n"/>
      <c r="H386" s="7" t="n"/>
      <c r="I386" s="7" t="n"/>
      <c r="J386" s="9">
        <f>IF(OR(I386="",H386="Opted out",H386="Replied - no"),"",IF(TODAY()&gt;I386,"OVERDUE",""))</f>
        <v/>
      </c>
      <c r="K386" s="7" t="n"/>
    </row>
    <row r="387">
      <c r="A387" s="7" t="n"/>
      <c r="B387" s="7" t="n"/>
      <c r="C387" s="7" t="n"/>
      <c r="D387" s="7" t="n"/>
      <c r="E387" s="7" t="n"/>
      <c r="F387" s="7" t="n"/>
      <c r="G387" s="7" t="n"/>
      <c r="H387" s="7" t="n"/>
      <c r="I387" s="7" t="n"/>
      <c r="J387" s="9">
        <f>IF(OR(I387="",H387="Opted out",H387="Replied - no"),"",IF(TODAY()&gt;I387,"OVERDUE",""))</f>
        <v/>
      </c>
      <c r="K387" s="7" t="n"/>
    </row>
    <row r="388">
      <c r="A388" s="7" t="n"/>
      <c r="B388" s="7" t="n"/>
      <c r="C388" s="7" t="n"/>
      <c r="D388" s="7" t="n"/>
      <c r="E388" s="7" t="n"/>
      <c r="F388" s="7" t="n"/>
      <c r="G388" s="7" t="n"/>
      <c r="H388" s="7" t="n"/>
      <c r="I388" s="7" t="n"/>
      <c r="J388" s="9">
        <f>IF(OR(I388="",H388="Opted out",H388="Replied - no"),"",IF(TODAY()&gt;I388,"OVERDUE",""))</f>
        <v/>
      </c>
      <c r="K388" s="7" t="n"/>
    </row>
    <row r="389">
      <c r="A389" s="7" t="n"/>
      <c r="B389" s="7" t="n"/>
      <c r="C389" s="7" t="n"/>
      <c r="D389" s="7" t="n"/>
      <c r="E389" s="7" t="n"/>
      <c r="F389" s="7" t="n"/>
      <c r="G389" s="7" t="n"/>
      <c r="H389" s="7" t="n"/>
      <c r="I389" s="7" t="n"/>
      <c r="J389" s="9">
        <f>IF(OR(I389="",H389="Opted out",H389="Replied - no"),"",IF(TODAY()&gt;I389,"OVERDUE",""))</f>
        <v/>
      </c>
      <c r="K389" s="7" t="n"/>
    </row>
    <row r="390">
      <c r="A390" s="7" t="n"/>
      <c r="B390" s="7" t="n"/>
      <c r="C390" s="7" t="n"/>
      <c r="D390" s="7" t="n"/>
      <c r="E390" s="7" t="n"/>
      <c r="F390" s="7" t="n"/>
      <c r="G390" s="7" t="n"/>
      <c r="H390" s="7" t="n"/>
      <c r="I390" s="7" t="n"/>
      <c r="J390" s="9">
        <f>IF(OR(I390="",H390="Opted out",H390="Replied - no"),"",IF(TODAY()&gt;I390,"OVERDUE",""))</f>
        <v/>
      </c>
      <c r="K390" s="7" t="n"/>
    </row>
    <row r="391">
      <c r="A391" s="7" t="n"/>
      <c r="B391" s="7" t="n"/>
      <c r="C391" s="7" t="n"/>
      <c r="D391" s="7" t="n"/>
      <c r="E391" s="7" t="n"/>
      <c r="F391" s="7" t="n"/>
      <c r="G391" s="7" t="n"/>
      <c r="H391" s="7" t="n"/>
      <c r="I391" s="7" t="n"/>
      <c r="J391" s="9">
        <f>IF(OR(I391="",H391="Opted out",H391="Replied - no"),"",IF(TODAY()&gt;I391,"OVERDUE",""))</f>
        <v/>
      </c>
      <c r="K391" s="7" t="n"/>
    </row>
    <row r="392">
      <c r="A392" s="7" t="n"/>
      <c r="B392" s="7" t="n"/>
      <c r="C392" s="7" t="n"/>
      <c r="D392" s="7" t="n"/>
      <c r="E392" s="7" t="n"/>
      <c r="F392" s="7" t="n"/>
      <c r="G392" s="7" t="n"/>
      <c r="H392" s="7" t="n"/>
      <c r="I392" s="7" t="n"/>
      <c r="J392" s="9">
        <f>IF(OR(I392="",H392="Opted out",H392="Replied - no"),"",IF(TODAY()&gt;I392,"OVERDUE",""))</f>
        <v/>
      </c>
      <c r="K392" s="7" t="n"/>
    </row>
    <row r="393">
      <c r="A393" s="7" t="n"/>
      <c r="B393" s="7" t="n"/>
      <c r="C393" s="7" t="n"/>
      <c r="D393" s="7" t="n"/>
      <c r="E393" s="7" t="n"/>
      <c r="F393" s="7" t="n"/>
      <c r="G393" s="7" t="n"/>
      <c r="H393" s="7" t="n"/>
      <c r="I393" s="7" t="n"/>
      <c r="J393" s="9">
        <f>IF(OR(I393="",H393="Opted out",H393="Replied - no"),"",IF(TODAY()&gt;I393,"OVERDUE",""))</f>
        <v/>
      </c>
      <c r="K393" s="7" t="n"/>
    </row>
    <row r="394">
      <c r="A394" s="7" t="n"/>
      <c r="B394" s="7" t="n"/>
      <c r="C394" s="7" t="n"/>
      <c r="D394" s="7" t="n"/>
      <c r="E394" s="7" t="n"/>
      <c r="F394" s="7" t="n"/>
      <c r="G394" s="7" t="n"/>
      <c r="H394" s="7" t="n"/>
      <c r="I394" s="7" t="n"/>
      <c r="J394" s="9">
        <f>IF(OR(I394="",H394="Opted out",H394="Replied - no"),"",IF(TODAY()&gt;I394,"OVERDUE",""))</f>
        <v/>
      </c>
      <c r="K394" s="7" t="n"/>
    </row>
    <row r="395">
      <c r="A395" s="7" t="n"/>
      <c r="B395" s="7" t="n"/>
      <c r="C395" s="7" t="n"/>
      <c r="D395" s="7" t="n"/>
      <c r="E395" s="7" t="n"/>
      <c r="F395" s="7" t="n"/>
      <c r="G395" s="7" t="n"/>
      <c r="H395" s="7" t="n"/>
      <c r="I395" s="7" t="n"/>
      <c r="J395" s="9">
        <f>IF(OR(I395="",H395="Opted out",H395="Replied - no"),"",IF(TODAY()&gt;I395,"OVERDUE",""))</f>
        <v/>
      </c>
      <c r="K395" s="7" t="n"/>
    </row>
    <row r="396">
      <c r="A396" s="7" t="n"/>
      <c r="B396" s="7" t="n"/>
      <c r="C396" s="7" t="n"/>
      <c r="D396" s="7" t="n"/>
      <c r="E396" s="7" t="n"/>
      <c r="F396" s="7" t="n"/>
      <c r="G396" s="7" t="n"/>
      <c r="H396" s="7" t="n"/>
      <c r="I396" s="7" t="n"/>
      <c r="J396" s="9">
        <f>IF(OR(I396="",H396="Opted out",H396="Replied - no"),"",IF(TODAY()&gt;I396,"OVERDUE",""))</f>
        <v/>
      </c>
      <c r="K396" s="7" t="n"/>
    </row>
    <row r="397">
      <c r="A397" s="7" t="n"/>
      <c r="B397" s="7" t="n"/>
      <c r="C397" s="7" t="n"/>
      <c r="D397" s="7" t="n"/>
      <c r="E397" s="7" t="n"/>
      <c r="F397" s="7" t="n"/>
      <c r="G397" s="7" t="n"/>
      <c r="H397" s="7" t="n"/>
      <c r="I397" s="7" t="n"/>
      <c r="J397" s="9">
        <f>IF(OR(I397="",H397="Opted out",H397="Replied - no"),"",IF(TODAY()&gt;I397,"OVERDUE",""))</f>
        <v/>
      </c>
      <c r="K397" s="7" t="n"/>
    </row>
    <row r="398">
      <c r="A398" s="7" t="n"/>
      <c r="B398" s="7" t="n"/>
      <c r="C398" s="7" t="n"/>
      <c r="D398" s="7" t="n"/>
      <c r="E398" s="7" t="n"/>
      <c r="F398" s="7" t="n"/>
      <c r="G398" s="7" t="n"/>
      <c r="H398" s="7" t="n"/>
      <c r="I398" s="7" t="n"/>
      <c r="J398" s="9">
        <f>IF(OR(I398="",H398="Opted out",H398="Replied - no"),"",IF(TODAY()&gt;I398,"OVERDUE",""))</f>
        <v/>
      </c>
      <c r="K398" s="7" t="n"/>
    </row>
    <row r="399">
      <c r="A399" s="7" t="n"/>
      <c r="B399" s="7" t="n"/>
      <c r="C399" s="7" t="n"/>
      <c r="D399" s="7" t="n"/>
      <c r="E399" s="7" t="n"/>
      <c r="F399" s="7" t="n"/>
      <c r="G399" s="7" t="n"/>
      <c r="H399" s="7" t="n"/>
      <c r="I399" s="7" t="n"/>
      <c r="J399" s="9">
        <f>IF(OR(I399="",H399="Opted out",H399="Replied - no"),"",IF(TODAY()&gt;I399,"OVERDUE",""))</f>
        <v/>
      </c>
      <c r="K399" s="7" t="n"/>
    </row>
    <row r="400">
      <c r="A400" s="7" t="n"/>
      <c r="B400" s="7" t="n"/>
      <c r="C400" s="7" t="n"/>
      <c r="D400" s="7" t="n"/>
      <c r="E400" s="7" t="n"/>
      <c r="F400" s="7" t="n"/>
      <c r="G400" s="7" t="n"/>
      <c r="H400" s="7" t="n"/>
      <c r="I400" s="7" t="n"/>
      <c r="J400" s="9">
        <f>IF(OR(I400="",H400="Opted out",H400="Replied - no"),"",IF(TODAY()&gt;I400,"OVERDUE",""))</f>
        <v/>
      </c>
      <c r="K400" s="7" t="n"/>
    </row>
    <row r="401">
      <c r="A401" s="7" t="n"/>
      <c r="B401" s="7" t="n"/>
      <c r="C401" s="7" t="n"/>
      <c r="D401" s="7" t="n"/>
      <c r="E401" s="7" t="n"/>
      <c r="F401" s="7" t="n"/>
      <c r="G401" s="7" t="n"/>
      <c r="H401" s="7" t="n"/>
      <c r="I401" s="7" t="n"/>
      <c r="J401" s="9">
        <f>IF(OR(I401="",H401="Opted out",H401="Replied - no"),"",IF(TODAY()&gt;I401,"OVERDUE",""))</f>
        <v/>
      </c>
      <c r="K401" s="7" t="n"/>
    </row>
    <row r="402">
      <c r="A402" s="7" t="n"/>
      <c r="B402" s="7" t="n"/>
      <c r="C402" s="7" t="n"/>
      <c r="D402" s="7" t="n"/>
      <c r="E402" s="7" t="n"/>
      <c r="F402" s="7" t="n"/>
      <c r="G402" s="7" t="n"/>
      <c r="H402" s="7" t="n"/>
      <c r="I402" s="7" t="n"/>
      <c r="J402" s="9">
        <f>IF(OR(I402="",H402="Opted out",H402="Replied - no"),"",IF(TODAY()&gt;I402,"OVERDUE",""))</f>
        <v/>
      </c>
      <c r="K402" s="7" t="n"/>
    </row>
    <row r="403">
      <c r="A403" s="7" t="n"/>
      <c r="B403" s="7" t="n"/>
      <c r="C403" s="7" t="n"/>
      <c r="D403" s="7" t="n"/>
      <c r="E403" s="7" t="n"/>
      <c r="F403" s="7" t="n"/>
      <c r="G403" s="7" t="n"/>
      <c r="H403" s="7" t="n"/>
      <c r="I403" s="7" t="n"/>
      <c r="J403" s="9">
        <f>IF(OR(I403="",H403="Opted out",H403="Replied - no"),"",IF(TODAY()&gt;I403,"OVERDUE",""))</f>
        <v/>
      </c>
      <c r="K403" s="7" t="n"/>
    </row>
    <row r="404">
      <c r="A404" s="7" t="n"/>
      <c r="B404" s="7" t="n"/>
      <c r="C404" s="7" t="n"/>
      <c r="D404" s="7" t="n"/>
      <c r="E404" s="7" t="n"/>
      <c r="F404" s="7" t="n"/>
      <c r="G404" s="7" t="n"/>
      <c r="H404" s="7" t="n"/>
      <c r="I404" s="7" t="n"/>
      <c r="J404" s="9">
        <f>IF(OR(I404="",H404="Opted out",H404="Replied - no"),"",IF(TODAY()&gt;I404,"OVERDUE",""))</f>
        <v/>
      </c>
      <c r="K404" s="7" t="n"/>
    </row>
    <row r="405">
      <c r="A405" s="7" t="n"/>
      <c r="B405" s="7" t="n"/>
      <c r="C405" s="7" t="n"/>
      <c r="D405" s="7" t="n"/>
      <c r="E405" s="7" t="n"/>
      <c r="F405" s="7" t="n"/>
      <c r="G405" s="7" t="n"/>
      <c r="H405" s="7" t="n"/>
      <c r="I405" s="7" t="n"/>
      <c r="J405" s="9">
        <f>IF(OR(I405="",H405="Opted out",H405="Replied - no"),"",IF(TODAY()&gt;I405,"OVERDUE",""))</f>
        <v/>
      </c>
      <c r="K405" s="7" t="n"/>
    </row>
    <row r="406">
      <c r="A406" s="7" t="n"/>
      <c r="B406" s="7" t="n"/>
      <c r="C406" s="7" t="n"/>
      <c r="D406" s="7" t="n"/>
      <c r="E406" s="7" t="n"/>
      <c r="F406" s="7" t="n"/>
      <c r="G406" s="7" t="n"/>
      <c r="H406" s="7" t="n"/>
      <c r="I406" s="7" t="n"/>
      <c r="J406" s="9">
        <f>IF(OR(I406="",H406="Opted out",H406="Replied - no"),"",IF(TODAY()&gt;I406,"OVERDUE",""))</f>
        <v/>
      </c>
      <c r="K406" s="7" t="n"/>
    </row>
    <row r="407">
      <c r="A407" s="7" t="n"/>
      <c r="B407" s="7" t="n"/>
      <c r="C407" s="7" t="n"/>
      <c r="D407" s="7" t="n"/>
      <c r="E407" s="7" t="n"/>
      <c r="F407" s="7" t="n"/>
      <c r="G407" s="7" t="n"/>
      <c r="H407" s="7" t="n"/>
      <c r="I407" s="7" t="n"/>
      <c r="J407" s="9">
        <f>IF(OR(I407="",H407="Opted out",H407="Replied - no"),"",IF(TODAY()&gt;I407,"OVERDUE",""))</f>
        <v/>
      </c>
      <c r="K407" s="7" t="n"/>
    </row>
    <row r="408">
      <c r="A408" s="7" t="n"/>
      <c r="B408" s="7" t="n"/>
      <c r="C408" s="7" t="n"/>
      <c r="D408" s="7" t="n"/>
      <c r="E408" s="7" t="n"/>
      <c r="F408" s="7" t="n"/>
      <c r="G408" s="7" t="n"/>
      <c r="H408" s="7" t="n"/>
      <c r="I408" s="7" t="n"/>
      <c r="J408" s="9">
        <f>IF(OR(I408="",H408="Opted out",H408="Replied - no"),"",IF(TODAY()&gt;I408,"OVERDUE",""))</f>
        <v/>
      </c>
      <c r="K408" s="7" t="n"/>
    </row>
    <row r="409">
      <c r="A409" s="7" t="n"/>
      <c r="B409" s="7" t="n"/>
      <c r="C409" s="7" t="n"/>
      <c r="D409" s="7" t="n"/>
      <c r="E409" s="7" t="n"/>
      <c r="F409" s="7" t="n"/>
      <c r="G409" s="7" t="n"/>
      <c r="H409" s="7" t="n"/>
      <c r="I409" s="7" t="n"/>
      <c r="J409" s="9">
        <f>IF(OR(I409="",H409="Opted out",H409="Replied - no"),"",IF(TODAY()&gt;I409,"OVERDUE",""))</f>
        <v/>
      </c>
      <c r="K409" s="7" t="n"/>
    </row>
    <row r="410">
      <c r="A410" s="7" t="n"/>
      <c r="B410" s="7" t="n"/>
      <c r="C410" s="7" t="n"/>
      <c r="D410" s="7" t="n"/>
      <c r="E410" s="7" t="n"/>
      <c r="F410" s="7" t="n"/>
      <c r="G410" s="7" t="n"/>
      <c r="H410" s="7" t="n"/>
      <c r="I410" s="7" t="n"/>
      <c r="J410" s="9">
        <f>IF(OR(I410="",H410="Opted out",H410="Replied - no"),"",IF(TODAY()&gt;I410,"OVERDUE",""))</f>
        <v/>
      </c>
      <c r="K410" s="7" t="n"/>
    </row>
    <row r="411">
      <c r="A411" s="7" t="n"/>
      <c r="B411" s="7" t="n"/>
      <c r="C411" s="7" t="n"/>
      <c r="D411" s="7" t="n"/>
      <c r="E411" s="7" t="n"/>
      <c r="F411" s="7" t="n"/>
      <c r="G411" s="7" t="n"/>
      <c r="H411" s="7" t="n"/>
      <c r="I411" s="7" t="n"/>
      <c r="J411" s="9">
        <f>IF(OR(I411="",H411="Opted out",H411="Replied - no"),"",IF(TODAY()&gt;I411,"OVERDUE",""))</f>
        <v/>
      </c>
      <c r="K411" s="7" t="n"/>
    </row>
    <row r="412">
      <c r="A412" s="7" t="n"/>
      <c r="B412" s="7" t="n"/>
      <c r="C412" s="7" t="n"/>
      <c r="D412" s="7" t="n"/>
      <c r="E412" s="7" t="n"/>
      <c r="F412" s="7" t="n"/>
      <c r="G412" s="7" t="n"/>
      <c r="H412" s="7" t="n"/>
      <c r="I412" s="7" t="n"/>
      <c r="J412" s="9">
        <f>IF(OR(I412="",H412="Opted out",H412="Replied - no"),"",IF(TODAY()&gt;I412,"OVERDUE",""))</f>
        <v/>
      </c>
      <c r="K412" s="7" t="n"/>
    </row>
    <row r="413">
      <c r="A413" s="7" t="n"/>
      <c r="B413" s="7" t="n"/>
      <c r="C413" s="7" t="n"/>
      <c r="D413" s="7" t="n"/>
      <c r="E413" s="7" t="n"/>
      <c r="F413" s="7" t="n"/>
      <c r="G413" s="7" t="n"/>
      <c r="H413" s="7" t="n"/>
      <c r="I413" s="7" t="n"/>
      <c r="J413" s="9">
        <f>IF(OR(I413="",H413="Opted out",H413="Replied - no"),"",IF(TODAY()&gt;I413,"OVERDUE",""))</f>
        <v/>
      </c>
      <c r="K413" s="7" t="n"/>
    </row>
    <row r="414">
      <c r="A414" s="7" t="n"/>
      <c r="B414" s="7" t="n"/>
      <c r="C414" s="7" t="n"/>
      <c r="D414" s="7" t="n"/>
      <c r="E414" s="7" t="n"/>
      <c r="F414" s="7" t="n"/>
      <c r="G414" s="7" t="n"/>
      <c r="H414" s="7" t="n"/>
      <c r="I414" s="7" t="n"/>
      <c r="J414" s="9">
        <f>IF(OR(I414="",H414="Opted out",H414="Replied - no"),"",IF(TODAY()&gt;I414,"OVERDUE",""))</f>
        <v/>
      </c>
      <c r="K414" s="7" t="n"/>
    </row>
    <row r="415">
      <c r="A415" s="7" t="n"/>
      <c r="B415" s="7" t="n"/>
      <c r="C415" s="7" t="n"/>
      <c r="D415" s="7" t="n"/>
      <c r="E415" s="7" t="n"/>
      <c r="F415" s="7" t="n"/>
      <c r="G415" s="7" t="n"/>
      <c r="H415" s="7" t="n"/>
      <c r="I415" s="7" t="n"/>
      <c r="J415" s="9">
        <f>IF(OR(I415="",H415="Opted out",H415="Replied - no"),"",IF(TODAY()&gt;I415,"OVERDUE",""))</f>
        <v/>
      </c>
      <c r="K415" s="7" t="n"/>
    </row>
    <row r="416">
      <c r="A416" s="7" t="n"/>
      <c r="B416" s="7" t="n"/>
      <c r="C416" s="7" t="n"/>
      <c r="D416" s="7" t="n"/>
      <c r="E416" s="7" t="n"/>
      <c r="F416" s="7" t="n"/>
      <c r="G416" s="7" t="n"/>
      <c r="H416" s="7" t="n"/>
      <c r="I416" s="7" t="n"/>
      <c r="J416" s="9">
        <f>IF(OR(I416="",H416="Opted out",H416="Replied - no"),"",IF(TODAY()&gt;I416,"OVERDUE",""))</f>
        <v/>
      </c>
      <c r="K416" s="7" t="n"/>
    </row>
    <row r="417">
      <c r="A417" s="7" t="n"/>
      <c r="B417" s="7" t="n"/>
      <c r="C417" s="7" t="n"/>
      <c r="D417" s="7" t="n"/>
      <c r="E417" s="7" t="n"/>
      <c r="F417" s="7" t="n"/>
      <c r="G417" s="7" t="n"/>
      <c r="H417" s="7" t="n"/>
      <c r="I417" s="7" t="n"/>
      <c r="J417" s="9">
        <f>IF(OR(I417="",H417="Opted out",H417="Replied - no"),"",IF(TODAY()&gt;I417,"OVERDUE",""))</f>
        <v/>
      </c>
      <c r="K417" s="7" t="n"/>
    </row>
    <row r="418">
      <c r="A418" s="7" t="n"/>
      <c r="B418" s="7" t="n"/>
      <c r="C418" s="7" t="n"/>
      <c r="D418" s="7" t="n"/>
      <c r="E418" s="7" t="n"/>
      <c r="F418" s="7" t="n"/>
      <c r="G418" s="7" t="n"/>
      <c r="H418" s="7" t="n"/>
      <c r="I418" s="7" t="n"/>
      <c r="J418" s="9">
        <f>IF(OR(I418="",H418="Opted out",H418="Replied - no"),"",IF(TODAY()&gt;I418,"OVERDUE",""))</f>
        <v/>
      </c>
      <c r="K418" s="7" t="n"/>
    </row>
    <row r="419">
      <c r="A419" s="7" t="n"/>
      <c r="B419" s="7" t="n"/>
      <c r="C419" s="7" t="n"/>
      <c r="D419" s="7" t="n"/>
      <c r="E419" s="7" t="n"/>
      <c r="F419" s="7" t="n"/>
      <c r="G419" s="7" t="n"/>
      <c r="H419" s="7" t="n"/>
      <c r="I419" s="7" t="n"/>
      <c r="J419" s="9">
        <f>IF(OR(I419="",H419="Opted out",H419="Replied - no"),"",IF(TODAY()&gt;I419,"OVERDUE",""))</f>
        <v/>
      </c>
      <c r="K419" s="7" t="n"/>
    </row>
    <row r="420">
      <c r="A420" s="7" t="n"/>
      <c r="B420" s="7" t="n"/>
      <c r="C420" s="7" t="n"/>
      <c r="D420" s="7" t="n"/>
      <c r="E420" s="7" t="n"/>
      <c r="F420" s="7" t="n"/>
      <c r="G420" s="7" t="n"/>
      <c r="H420" s="7" t="n"/>
      <c r="I420" s="7" t="n"/>
      <c r="J420" s="9">
        <f>IF(OR(I420="",H420="Opted out",H420="Replied - no"),"",IF(TODAY()&gt;I420,"OVERDUE",""))</f>
        <v/>
      </c>
      <c r="K420" s="7" t="n"/>
    </row>
    <row r="421">
      <c r="A421" s="7" t="n"/>
      <c r="B421" s="7" t="n"/>
      <c r="C421" s="7" t="n"/>
      <c r="D421" s="7" t="n"/>
      <c r="E421" s="7" t="n"/>
      <c r="F421" s="7" t="n"/>
      <c r="G421" s="7" t="n"/>
      <c r="H421" s="7" t="n"/>
      <c r="I421" s="7" t="n"/>
      <c r="J421" s="9">
        <f>IF(OR(I421="",H421="Opted out",H421="Replied - no"),"",IF(TODAY()&gt;I421,"OVERDUE",""))</f>
        <v/>
      </c>
      <c r="K421" s="7" t="n"/>
    </row>
    <row r="422">
      <c r="A422" s="7" t="n"/>
      <c r="B422" s="7" t="n"/>
      <c r="C422" s="7" t="n"/>
      <c r="D422" s="7" t="n"/>
      <c r="E422" s="7" t="n"/>
      <c r="F422" s="7" t="n"/>
      <c r="G422" s="7" t="n"/>
      <c r="H422" s="7" t="n"/>
      <c r="I422" s="7" t="n"/>
      <c r="J422" s="9">
        <f>IF(OR(I422="",H422="Opted out",H422="Replied - no"),"",IF(TODAY()&gt;I422,"OVERDUE",""))</f>
        <v/>
      </c>
      <c r="K422" s="7" t="n"/>
    </row>
    <row r="423">
      <c r="A423" s="7" t="n"/>
      <c r="B423" s="7" t="n"/>
      <c r="C423" s="7" t="n"/>
      <c r="D423" s="7" t="n"/>
      <c r="E423" s="7" t="n"/>
      <c r="F423" s="7" t="n"/>
      <c r="G423" s="7" t="n"/>
      <c r="H423" s="7" t="n"/>
      <c r="I423" s="7" t="n"/>
      <c r="J423" s="9">
        <f>IF(OR(I423="",H423="Opted out",H423="Replied - no"),"",IF(TODAY()&gt;I423,"OVERDUE",""))</f>
        <v/>
      </c>
      <c r="K423" s="7" t="n"/>
    </row>
    <row r="424">
      <c r="A424" s="7" t="n"/>
      <c r="B424" s="7" t="n"/>
      <c r="C424" s="7" t="n"/>
      <c r="D424" s="7" t="n"/>
      <c r="E424" s="7" t="n"/>
      <c r="F424" s="7" t="n"/>
      <c r="G424" s="7" t="n"/>
      <c r="H424" s="7" t="n"/>
      <c r="I424" s="7" t="n"/>
      <c r="J424" s="9">
        <f>IF(OR(I424="",H424="Opted out",H424="Replied - no"),"",IF(TODAY()&gt;I424,"OVERDUE",""))</f>
        <v/>
      </c>
      <c r="K424" s="7" t="n"/>
    </row>
    <row r="425">
      <c r="A425" s="7" t="n"/>
      <c r="B425" s="7" t="n"/>
      <c r="C425" s="7" t="n"/>
      <c r="D425" s="7" t="n"/>
      <c r="E425" s="7" t="n"/>
      <c r="F425" s="7" t="n"/>
      <c r="G425" s="7" t="n"/>
      <c r="H425" s="7" t="n"/>
      <c r="I425" s="7" t="n"/>
      <c r="J425" s="9">
        <f>IF(OR(I425="",H425="Opted out",H425="Replied - no"),"",IF(TODAY()&gt;I425,"OVERDUE",""))</f>
        <v/>
      </c>
      <c r="K425" s="7" t="n"/>
    </row>
    <row r="426">
      <c r="A426" s="7" t="n"/>
      <c r="B426" s="7" t="n"/>
      <c r="C426" s="7" t="n"/>
      <c r="D426" s="7" t="n"/>
      <c r="E426" s="7" t="n"/>
      <c r="F426" s="7" t="n"/>
      <c r="G426" s="7" t="n"/>
      <c r="H426" s="7" t="n"/>
      <c r="I426" s="7" t="n"/>
      <c r="J426" s="9">
        <f>IF(OR(I426="",H426="Opted out",H426="Replied - no"),"",IF(TODAY()&gt;I426,"OVERDUE",""))</f>
        <v/>
      </c>
      <c r="K426" s="7" t="n"/>
    </row>
    <row r="427">
      <c r="A427" s="7" t="n"/>
      <c r="B427" s="7" t="n"/>
      <c r="C427" s="7" t="n"/>
      <c r="D427" s="7" t="n"/>
      <c r="E427" s="7" t="n"/>
      <c r="F427" s="7" t="n"/>
      <c r="G427" s="7" t="n"/>
      <c r="H427" s="7" t="n"/>
      <c r="I427" s="7" t="n"/>
      <c r="J427" s="9">
        <f>IF(OR(I427="",H427="Opted out",H427="Replied - no"),"",IF(TODAY()&gt;I427,"OVERDUE",""))</f>
        <v/>
      </c>
      <c r="K427" s="7" t="n"/>
    </row>
    <row r="428">
      <c r="A428" s="7" t="n"/>
      <c r="B428" s="7" t="n"/>
      <c r="C428" s="7" t="n"/>
      <c r="D428" s="7" t="n"/>
      <c r="E428" s="7" t="n"/>
      <c r="F428" s="7" t="n"/>
      <c r="G428" s="7" t="n"/>
      <c r="H428" s="7" t="n"/>
      <c r="I428" s="7" t="n"/>
      <c r="J428" s="9">
        <f>IF(OR(I428="",H428="Opted out",H428="Replied - no"),"",IF(TODAY()&gt;I428,"OVERDUE",""))</f>
        <v/>
      </c>
      <c r="K428" s="7" t="n"/>
    </row>
    <row r="429">
      <c r="A429" s="7" t="n"/>
      <c r="B429" s="7" t="n"/>
      <c r="C429" s="7" t="n"/>
      <c r="D429" s="7" t="n"/>
      <c r="E429" s="7" t="n"/>
      <c r="F429" s="7" t="n"/>
      <c r="G429" s="7" t="n"/>
      <c r="H429" s="7" t="n"/>
      <c r="I429" s="7" t="n"/>
      <c r="J429" s="9">
        <f>IF(OR(I429="",H429="Opted out",H429="Replied - no"),"",IF(TODAY()&gt;I429,"OVERDUE",""))</f>
        <v/>
      </c>
      <c r="K429" s="7" t="n"/>
    </row>
    <row r="430">
      <c r="A430" s="7" t="n"/>
      <c r="B430" s="7" t="n"/>
      <c r="C430" s="7" t="n"/>
      <c r="D430" s="7" t="n"/>
      <c r="E430" s="7" t="n"/>
      <c r="F430" s="7" t="n"/>
      <c r="G430" s="7" t="n"/>
      <c r="H430" s="7" t="n"/>
      <c r="I430" s="7" t="n"/>
      <c r="J430" s="9">
        <f>IF(OR(I430="",H430="Opted out",H430="Replied - no"),"",IF(TODAY()&gt;I430,"OVERDUE",""))</f>
        <v/>
      </c>
      <c r="K430" s="7" t="n"/>
    </row>
    <row r="431">
      <c r="A431" s="7" t="n"/>
      <c r="B431" s="7" t="n"/>
      <c r="C431" s="7" t="n"/>
      <c r="D431" s="7" t="n"/>
      <c r="E431" s="7" t="n"/>
      <c r="F431" s="7" t="n"/>
      <c r="G431" s="7" t="n"/>
      <c r="H431" s="7" t="n"/>
      <c r="I431" s="7" t="n"/>
      <c r="J431" s="9">
        <f>IF(OR(I431="",H431="Opted out",H431="Replied - no"),"",IF(TODAY()&gt;I431,"OVERDUE",""))</f>
        <v/>
      </c>
      <c r="K431" s="7" t="n"/>
    </row>
    <row r="432">
      <c r="A432" s="7" t="n"/>
      <c r="B432" s="7" t="n"/>
      <c r="C432" s="7" t="n"/>
      <c r="D432" s="7" t="n"/>
      <c r="E432" s="7" t="n"/>
      <c r="F432" s="7" t="n"/>
      <c r="G432" s="7" t="n"/>
      <c r="H432" s="7" t="n"/>
      <c r="I432" s="7" t="n"/>
      <c r="J432" s="9">
        <f>IF(OR(I432="",H432="Opted out",H432="Replied - no"),"",IF(TODAY()&gt;I432,"OVERDUE",""))</f>
        <v/>
      </c>
      <c r="K432" s="7" t="n"/>
    </row>
    <row r="433">
      <c r="A433" s="7" t="n"/>
      <c r="B433" s="7" t="n"/>
      <c r="C433" s="7" t="n"/>
      <c r="D433" s="7" t="n"/>
      <c r="E433" s="7" t="n"/>
      <c r="F433" s="7" t="n"/>
      <c r="G433" s="7" t="n"/>
      <c r="H433" s="7" t="n"/>
      <c r="I433" s="7" t="n"/>
      <c r="J433" s="9">
        <f>IF(OR(I433="",H433="Opted out",H433="Replied - no"),"",IF(TODAY()&gt;I433,"OVERDUE",""))</f>
        <v/>
      </c>
      <c r="K433" s="7" t="n"/>
    </row>
    <row r="434">
      <c r="A434" s="7" t="n"/>
      <c r="B434" s="7" t="n"/>
      <c r="C434" s="7" t="n"/>
      <c r="D434" s="7" t="n"/>
      <c r="E434" s="7" t="n"/>
      <c r="F434" s="7" t="n"/>
      <c r="G434" s="7" t="n"/>
      <c r="H434" s="7" t="n"/>
      <c r="I434" s="7" t="n"/>
      <c r="J434" s="9">
        <f>IF(OR(I434="",H434="Opted out",H434="Replied - no"),"",IF(TODAY()&gt;I434,"OVERDUE",""))</f>
        <v/>
      </c>
      <c r="K434" s="7" t="n"/>
    </row>
    <row r="435">
      <c r="A435" s="7" t="n"/>
      <c r="B435" s="7" t="n"/>
      <c r="C435" s="7" t="n"/>
      <c r="D435" s="7" t="n"/>
      <c r="E435" s="7" t="n"/>
      <c r="F435" s="7" t="n"/>
      <c r="G435" s="7" t="n"/>
      <c r="H435" s="7" t="n"/>
      <c r="I435" s="7" t="n"/>
      <c r="J435" s="9">
        <f>IF(OR(I435="",H435="Opted out",H435="Replied - no"),"",IF(TODAY()&gt;I435,"OVERDUE",""))</f>
        <v/>
      </c>
      <c r="K435" s="7" t="n"/>
    </row>
    <row r="436">
      <c r="A436" s="7" t="n"/>
      <c r="B436" s="7" t="n"/>
      <c r="C436" s="7" t="n"/>
      <c r="D436" s="7" t="n"/>
      <c r="E436" s="7" t="n"/>
      <c r="F436" s="7" t="n"/>
      <c r="G436" s="7" t="n"/>
      <c r="H436" s="7" t="n"/>
      <c r="I436" s="7" t="n"/>
      <c r="J436" s="9">
        <f>IF(OR(I436="",H436="Opted out",H436="Replied - no"),"",IF(TODAY()&gt;I436,"OVERDUE",""))</f>
        <v/>
      </c>
      <c r="K436" s="7" t="n"/>
    </row>
    <row r="437">
      <c r="A437" s="7" t="n"/>
      <c r="B437" s="7" t="n"/>
      <c r="C437" s="7" t="n"/>
      <c r="D437" s="7" t="n"/>
      <c r="E437" s="7" t="n"/>
      <c r="F437" s="7" t="n"/>
      <c r="G437" s="7" t="n"/>
      <c r="H437" s="7" t="n"/>
      <c r="I437" s="7" t="n"/>
      <c r="J437" s="9">
        <f>IF(OR(I437="",H437="Opted out",H437="Replied - no"),"",IF(TODAY()&gt;I437,"OVERDUE",""))</f>
        <v/>
      </c>
      <c r="K437" s="7" t="n"/>
    </row>
    <row r="438">
      <c r="A438" s="7" t="n"/>
      <c r="B438" s="7" t="n"/>
      <c r="C438" s="7" t="n"/>
      <c r="D438" s="7" t="n"/>
      <c r="E438" s="7" t="n"/>
      <c r="F438" s="7" t="n"/>
      <c r="G438" s="7" t="n"/>
      <c r="H438" s="7" t="n"/>
      <c r="I438" s="7" t="n"/>
      <c r="J438" s="9">
        <f>IF(OR(I438="",H438="Opted out",H438="Replied - no"),"",IF(TODAY()&gt;I438,"OVERDUE",""))</f>
        <v/>
      </c>
      <c r="K438" s="7" t="n"/>
    </row>
    <row r="439">
      <c r="A439" s="7" t="n"/>
      <c r="B439" s="7" t="n"/>
      <c r="C439" s="7" t="n"/>
      <c r="D439" s="7" t="n"/>
      <c r="E439" s="7" t="n"/>
      <c r="F439" s="7" t="n"/>
      <c r="G439" s="7" t="n"/>
      <c r="H439" s="7" t="n"/>
      <c r="I439" s="7" t="n"/>
      <c r="J439" s="9">
        <f>IF(OR(I439="",H439="Opted out",H439="Replied - no"),"",IF(TODAY()&gt;I439,"OVERDUE",""))</f>
        <v/>
      </c>
      <c r="K439" s="7" t="n"/>
    </row>
    <row r="440">
      <c r="A440" s="7" t="n"/>
      <c r="B440" s="7" t="n"/>
      <c r="C440" s="7" t="n"/>
      <c r="D440" s="7" t="n"/>
      <c r="E440" s="7" t="n"/>
      <c r="F440" s="7" t="n"/>
      <c r="G440" s="7" t="n"/>
      <c r="H440" s="7" t="n"/>
      <c r="I440" s="7" t="n"/>
      <c r="J440" s="9">
        <f>IF(OR(I440="",H440="Opted out",H440="Replied - no"),"",IF(TODAY()&gt;I440,"OVERDUE",""))</f>
        <v/>
      </c>
      <c r="K440" s="7" t="n"/>
    </row>
    <row r="441">
      <c r="A441" s="7" t="n"/>
      <c r="B441" s="7" t="n"/>
      <c r="C441" s="7" t="n"/>
      <c r="D441" s="7" t="n"/>
      <c r="E441" s="7" t="n"/>
      <c r="F441" s="7" t="n"/>
      <c r="G441" s="7" t="n"/>
      <c r="H441" s="7" t="n"/>
      <c r="I441" s="7" t="n"/>
      <c r="J441" s="9">
        <f>IF(OR(I441="",H441="Opted out",H441="Replied - no"),"",IF(TODAY()&gt;I441,"OVERDUE",""))</f>
        <v/>
      </c>
      <c r="K441" s="7" t="n"/>
    </row>
    <row r="442">
      <c r="A442" s="7" t="n"/>
      <c r="B442" s="7" t="n"/>
      <c r="C442" s="7" t="n"/>
      <c r="D442" s="7" t="n"/>
      <c r="E442" s="7" t="n"/>
      <c r="F442" s="7" t="n"/>
      <c r="G442" s="7" t="n"/>
      <c r="H442" s="7" t="n"/>
      <c r="I442" s="7" t="n"/>
      <c r="J442" s="9">
        <f>IF(OR(I442="",H442="Opted out",H442="Replied - no"),"",IF(TODAY()&gt;I442,"OVERDUE",""))</f>
        <v/>
      </c>
      <c r="K442" s="7" t="n"/>
    </row>
    <row r="443">
      <c r="A443" s="7" t="n"/>
      <c r="B443" s="7" t="n"/>
      <c r="C443" s="7" t="n"/>
      <c r="D443" s="7" t="n"/>
      <c r="E443" s="7" t="n"/>
      <c r="F443" s="7" t="n"/>
      <c r="G443" s="7" t="n"/>
      <c r="H443" s="7" t="n"/>
      <c r="I443" s="7" t="n"/>
      <c r="J443" s="9">
        <f>IF(OR(I443="",H443="Opted out",H443="Replied - no"),"",IF(TODAY()&gt;I443,"OVERDUE",""))</f>
        <v/>
      </c>
      <c r="K443" s="7" t="n"/>
    </row>
    <row r="444">
      <c r="A444" s="7" t="n"/>
      <c r="B444" s="7" t="n"/>
      <c r="C444" s="7" t="n"/>
      <c r="D444" s="7" t="n"/>
      <c r="E444" s="7" t="n"/>
      <c r="F444" s="7" t="n"/>
      <c r="G444" s="7" t="n"/>
      <c r="H444" s="7" t="n"/>
      <c r="I444" s="7" t="n"/>
      <c r="J444" s="9">
        <f>IF(OR(I444="",H444="Opted out",H444="Replied - no"),"",IF(TODAY()&gt;I444,"OVERDUE",""))</f>
        <v/>
      </c>
      <c r="K444" s="7" t="n"/>
    </row>
    <row r="445">
      <c r="A445" s="7" t="n"/>
      <c r="B445" s="7" t="n"/>
      <c r="C445" s="7" t="n"/>
      <c r="D445" s="7" t="n"/>
      <c r="E445" s="7" t="n"/>
      <c r="F445" s="7" t="n"/>
      <c r="G445" s="7" t="n"/>
      <c r="H445" s="7" t="n"/>
      <c r="I445" s="7" t="n"/>
      <c r="J445" s="9">
        <f>IF(OR(I445="",H445="Opted out",H445="Replied - no"),"",IF(TODAY()&gt;I445,"OVERDUE",""))</f>
        <v/>
      </c>
      <c r="K445" s="7" t="n"/>
    </row>
    <row r="446">
      <c r="A446" s="7" t="n"/>
      <c r="B446" s="7" t="n"/>
      <c r="C446" s="7" t="n"/>
      <c r="D446" s="7" t="n"/>
      <c r="E446" s="7" t="n"/>
      <c r="F446" s="7" t="n"/>
      <c r="G446" s="7" t="n"/>
      <c r="H446" s="7" t="n"/>
      <c r="I446" s="7" t="n"/>
      <c r="J446" s="9">
        <f>IF(OR(I446="",H446="Opted out",H446="Replied - no"),"",IF(TODAY()&gt;I446,"OVERDUE",""))</f>
        <v/>
      </c>
      <c r="K446" s="7" t="n"/>
    </row>
    <row r="447">
      <c r="A447" s="7" t="n"/>
      <c r="B447" s="7" t="n"/>
      <c r="C447" s="7" t="n"/>
      <c r="D447" s="7" t="n"/>
      <c r="E447" s="7" t="n"/>
      <c r="F447" s="7" t="n"/>
      <c r="G447" s="7" t="n"/>
      <c r="H447" s="7" t="n"/>
      <c r="I447" s="7" t="n"/>
      <c r="J447" s="9">
        <f>IF(OR(I447="",H447="Opted out",H447="Replied - no"),"",IF(TODAY()&gt;I447,"OVERDUE",""))</f>
        <v/>
      </c>
      <c r="K447" s="7" t="n"/>
    </row>
    <row r="448">
      <c r="A448" s="7" t="n"/>
      <c r="B448" s="7" t="n"/>
      <c r="C448" s="7" t="n"/>
      <c r="D448" s="7" t="n"/>
      <c r="E448" s="7" t="n"/>
      <c r="F448" s="7" t="n"/>
      <c r="G448" s="7" t="n"/>
      <c r="H448" s="7" t="n"/>
      <c r="I448" s="7" t="n"/>
      <c r="J448" s="9">
        <f>IF(OR(I448="",H448="Opted out",H448="Replied - no"),"",IF(TODAY()&gt;I448,"OVERDUE",""))</f>
        <v/>
      </c>
      <c r="K448" s="7" t="n"/>
    </row>
    <row r="449">
      <c r="A449" s="7" t="n"/>
      <c r="B449" s="7" t="n"/>
      <c r="C449" s="7" t="n"/>
      <c r="D449" s="7" t="n"/>
      <c r="E449" s="7" t="n"/>
      <c r="F449" s="7" t="n"/>
      <c r="G449" s="7" t="n"/>
      <c r="H449" s="7" t="n"/>
      <c r="I449" s="7" t="n"/>
      <c r="J449" s="9">
        <f>IF(OR(I449="",H449="Opted out",H449="Replied - no"),"",IF(TODAY()&gt;I449,"OVERDUE",""))</f>
        <v/>
      </c>
      <c r="K449" s="7" t="n"/>
    </row>
    <row r="450">
      <c r="A450" s="7" t="n"/>
      <c r="B450" s="7" t="n"/>
      <c r="C450" s="7" t="n"/>
      <c r="D450" s="7" t="n"/>
      <c r="E450" s="7" t="n"/>
      <c r="F450" s="7" t="n"/>
      <c r="G450" s="7" t="n"/>
      <c r="H450" s="7" t="n"/>
      <c r="I450" s="7" t="n"/>
      <c r="J450" s="9">
        <f>IF(OR(I450="",H450="Opted out",H450="Replied - no"),"",IF(TODAY()&gt;I450,"OVERDUE",""))</f>
        <v/>
      </c>
      <c r="K450" s="7" t="n"/>
    </row>
    <row r="451">
      <c r="A451" s="7" t="n"/>
      <c r="B451" s="7" t="n"/>
      <c r="C451" s="7" t="n"/>
      <c r="D451" s="7" t="n"/>
      <c r="E451" s="7" t="n"/>
      <c r="F451" s="7" t="n"/>
      <c r="G451" s="7" t="n"/>
      <c r="H451" s="7" t="n"/>
      <c r="I451" s="7" t="n"/>
      <c r="J451" s="9">
        <f>IF(OR(I451="",H451="Opted out",H451="Replied - no"),"",IF(TODAY()&gt;I451,"OVERDUE",""))</f>
        <v/>
      </c>
      <c r="K451" s="7" t="n"/>
    </row>
    <row r="452">
      <c r="A452" s="7" t="n"/>
      <c r="B452" s="7" t="n"/>
      <c r="C452" s="7" t="n"/>
      <c r="D452" s="7" t="n"/>
      <c r="E452" s="7" t="n"/>
      <c r="F452" s="7" t="n"/>
      <c r="G452" s="7" t="n"/>
      <c r="H452" s="7" t="n"/>
      <c r="I452" s="7" t="n"/>
      <c r="J452" s="9">
        <f>IF(OR(I452="",H452="Opted out",H452="Replied - no"),"",IF(TODAY()&gt;I452,"OVERDUE",""))</f>
        <v/>
      </c>
      <c r="K452" s="7" t="n"/>
    </row>
    <row r="453">
      <c r="A453" s="7" t="n"/>
      <c r="B453" s="7" t="n"/>
      <c r="C453" s="7" t="n"/>
      <c r="D453" s="7" t="n"/>
      <c r="E453" s="7" t="n"/>
      <c r="F453" s="7" t="n"/>
      <c r="G453" s="7" t="n"/>
      <c r="H453" s="7" t="n"/>
      <c r="I453" s="7" t="n"/>
      <c r="J453" s="9">
        <f>IF(OR(I453="",H453="Opted out",H453="Replied - no"),"",IF(TODAY()&gt;I453,"OVERDUE",""))</f>
        <v/>
      </c>
      <c r="K453" s="7" t="n"/>
    </row>
    <row r="454">
      <c r="A454" s="7" t="n"/>
      <c r="B454" s="7" t="n"/>
      <c r="C454" s="7" t="n"/>
      <c r="D454" s="7" t="n"/>
      <c r="E454" s="7" t="n"/>
      <c r="F454" s="7" t="n"/>
      <c r="G454" s="7" t="n"/>
      <c r="H454" s="7" t="n"/>
      <c r="I454" s="7" t="n"/>
      <c r="J454" s="9">
        <f>IF(OR(I454="",H454="Opted out",H454="Replied - no"),"",IF(TODAY()&gt;I454,"OVERDUE",""))</f>
        <v/>
      </c>
      <c r="K454" s="7" t="n"/>
    </row>
    <row r="455">
      <c r="A455" s="7" t="n"/>
      <c r="B455" s="7" t="n"/>
      <c r="C455" s="7" t="n"/>
      <c r="D455" s="7" t="n"/>
      <c r="E455" s="7" t="n"/>
      <c r="F455" s="7" t="n"/>
      <c r="G455" s="7" t="n"/>
      <c r="H455" s="7" t="n"/>
      <c r="I455" s="7" t="n"/>
      <c r="J455" s="9">
        <f>IF(OR(I455="",H455="Opted out",H455="Replied - no"),"",IF(TODAY()&gt;I455,"OVERDUE",""))</f>
        <v/>
      </c>
      <c r="K455" s="7" t="n"/>
    </row>
    <row r="456">
      <c r="A456" s="7" t="n"/>
      <c r="B456" s="7" t="n"/>
      <c r="C456" s="7" t="n"/>
      <c r="D456" s="7" t="n"/>
      <c r="E456" s="7" t="n"/>
      <c r="F456" s="7" t="n"/>
      <c r="G456" s="7" t="n"/>
      <c r="H456" s="7" t="n"/>
      <c r="I456" s="7" t="n"/>
      <c r="J456" s="9">
        <f>IF(OR(I456="",H456="Opted out",H456="Replied - no"),"",IF(TODAY()&gt;I456,"OVERDUE",""))</f>
        <v/>
      </c>
      <c r="K456" s="7" t="n"/>
    </row>
    <row r="457">
      <c r="A457" s="7" t="n"/>
      <c r="B457" s="7" t="n"/>
      <c r="C457" s="7" t="n"/>
      <c r="D457" s="7" t="n"/>
      <c r="E457" s="7" t="n"/>
      <c r="F457" s="7" t="n"/>
      <c r="G457" s="7" t="n"/>
      <c r="H457" s="7" t="n"/>
      <c r="I457" s="7" t="n"/>
      <c r="J457" s="9">
        <f>IF(OR(I457="",H457="Opted out",H457="Replied - no"),"",IF(TODAY()&gt;I457,"OVERDUE",""))</f>
        <v/>
      </c>
      <c r="K457" s="7" t="n"/>
    </row>
    <row r="458">
      <c r="A458" s="7" t="n"/>
      <c r="B458" s="7" t="n"/>
      <c r="C458" s="7" t="n"/>
      <c r="D458" s="7" t="n"/>
      <c r="E458" s="7" t="n"/>
      <c r="F458" s="7" t="n"/>
      <c r="G458" s="7" t="n"/>
      <c r="H458" s="7" t="n"/>
      <c r="I458" s="7" t="n"/>
      <c r="J458" s="9">
        <f>IF(OR(I458="",H458="Opted out",H458="Replied - no"),"",IF(TODAY()&gt;I458,"OVERDUE",""))</f>
        <v/>
      </c>
      <c r="K458" s="7" t="n"/>
    </row>
    <row r="459">
      <c r="A459" s="7" t="n"/>
      <c r="B459" s="7" t="n"/>
      <c r="C459" s="7" t="n"/>
      <c r="D459" s="7" t="n"/>
      <c r="E459" s="7" t="n"/>
      <c r="F459" s="7" t="n"/>
      <c r="G459" s="7" t="n"/>
      <c r="H459" s="7" t="n"/>
      <c r="I459" s="7" t="n"/>
      <c r="J459" s="9">
        <f>IF(OR(I459="",H459="Opted out",H459="Replied - no"),"",IF(TODAY()&gt;I459,"OVERDUE",""))</f>
        <v/>
      </c>
      <c r="K459" s="7" t="n"/>
    </row>
    <row r="460">
      <c r="A460" s="7" t="n"/>
      <c r="B460" s="7" t="n"/>
      <c r="C460" s="7" t="n"/>
      <c r="D460" s="7" t="n"/>
      <c r="E460" s="7" t="n"/>
      <c r="F460" s="7" t="n"/>
      <c r="G460" s="7" t="n"/>
      <c r="H460" s="7" t="n"/>
      <c r="I460" s="7" t="n"/>
      <c r="J460" s="9">
        <f>IF(OR(I460="",H460="Opted out",H460="Replied - no"),"",IF(TODAY()&gt;I460,"OVERDUE",""))</f>
        <v/>
      </c>
      <c r="K460" s="7" t="n"/>
    </row>
    <row r="461">
      <c r="A461" s="7" t="n"/>
      <c r="B461" s="7" t="n"/>
      <c r="C461" s="7" t="n"/>
      <c r="D461" s="7" t="n"/>
      <c r="E461" s="7" t="n"/>
      <c r="F461" s="7" t="n"/>
      <c r="G461" s="7" t="n"/>
      <c r="H461" s="7" t="n"/>
      <c r="I461" s="7" t="n"/>
      <c r="J461" s="9">
        <f>IF(OR(I461="",H461="Opted out",H461="Replied - no"),"",IF(TODAY()&gt;I461,"OVERDUE",""))</f>
        <v/>
      </c>
      <c r="K461" s="7" t="n"/>
    </row>
    <row r="462">
      <c r="A462" s="7" t="n"/>
      <c r="B462" s="7" t="n"/>
      <c r="C462" s="7" t="n"/>
      <c r="D462" s="7" t="n"/>
      <c r="E462" s="7" t="n"/>
      <c r="F462" s="7" t="n"/>
      <c r="G462" s="7" t="n"/>
      <c r="H462" s="7" t="n"/>
      <c r="I462" s="7" t="n"/>
      <c r="J462" s="9">
        <f>IF(OR(I462="",H462="Opted out",H462="Replied - no"),"",IF(TODAY()&gt;I462,"OVERDUE",""))</f>
        <v/>
      </c>
      <c r="K462" s="7" t="n"/>
    </row>
    <row r="463">
      <c r="A463" s="7" t="n"/>
      <c r="B463" s="7" t="n"/>
      <c r="C463" s="7" t="n"/>
      <c r="D463" s="7" t="n"/>
      <c r="E463" s="7" t="n"/>
      <c r="F463" s="7" t="n"/>
      <c r="G463" s="7" t="n"/>
      <c r="H463" s="7" t="n"/>
      <c r="I463" s="7" t="n"/>
      <c r="J463" s="9">
        <f>IF(OR(I463="",H463="Opted out",H463="Replied - no"),"",IF(TODAY()&gt;I463,"OVERDUE",""))</f>
        <v/>
      </c>
      <c r="K463" s="7" t="n"/>
    </row>
    <row r="464">
      <c r="A464" s="7" t="n"/>
      <c r="B464" s="7" t="n"/>
      <c r="C464" s="7" t="n"/>
      <c r="D464" s="7" t="n"/>
      <c r="E464" s="7" t="n"/>
      <c r="F464" s="7" t="n"/>
      <c r="G464" s="7" t="n"/>
      <c r="H464" s="7" t="n"/>
      <c r="I464" s="7" t="n"/>
      <c r="J464" s="9">
        <f>IF(OR(I464="",H464="Opted out",H464="Replied - no"),"",IF(TODAY()&gt;I464,"OVERDUE",""))</f>
        <v/>
      </c>
      <c r="K464" s="7" t="n"/>
    </row>
    <row r="465">
      <c r="A465" s="7" t="n"/>
      <c r="B465" s="7" t="n"/>
      <c r="C465" s="7" t="n"/>
      <c r="D465" s="7" t="n"/>
      <c r="E465" s="7" t="n"/>
      <c r="F465" s="7" t="n"/>
      <c r="G465" s="7" t="n"/>
      <c r="H465" s="7" t="n"/>
      <c r="I465" s="7" t="n"/>
      <c r="J465" s="9">
        <f>IF(OR(I465="",H465="Opted out",H465="Replied - no"),"",IF(TODAY()&gt;I465,"OVERDUE",""))</f>
        <v/>
      </c>
      <c r="K465" s="7" t="n"/>
    </row>
    <row r="466">
      <c r="A466" s="7" t="n"/>
      <c r="B466" s="7" t="n"/>
      <c r="C466" s="7" t="n"/>
      <c r="D466" s="7" t="n"/>
      <c r="E466" s="7" t="n"/>
      <c r="F466" s="7" t="n"/>
      <c r="G466" s="7" t="n"/>
      <c r="H466" s="7" t="n"/>
      <c r="I466" s="7" t="n"/>
      <c r="J466" s="9">
        <f>IF(OR(I466="",H466="Opted out",H466="Replied - no"),"",IF(TODAY()&gt;I466,"OVERDUE",""))</f>
        <v/>
      </c>
      <c r="K466" s="7" t="n"/>
    </row>
    <row r="467">
      <c r="A467" s="7" t="n"/>
      <c r="B467" s="7" t="n"/>
      <c r="C467" s="7" t="n"/>
      <c r="D467" s="7" t="n"/>
      <c r="E467" s="7" t="n"/>
      <c r="F467" s="7" t="n"/>
      <c r="G467" s="7" t="n"/>
      <c r="H467" s="7" t="n"/>
      <c r="I467" s="7" t="n"/>
      <c r="J467" s="9">
        <f>IF(OR(I467="",H467="Opted out",H467="Replied - no"),"",IF(TODAY()&gt;I467,"OVERDUE",""))</f>
        <v/>
      </c>
      <c r="K467" s="7" t="n"/>
    </row>
    <row r="468">
      <c r="A468" s="7" t="n"/>
      <c r="B468" s="7" t="n"/>
      <c r="C468" s="7" t="n"/>
      <c r="D468" s="7" t="n"/>
      <c r="E468" s="7" t="n"/>
      <c r="F468" s="7" t="n"/>
      <c r="G468" s="7" t="n"/>
      <c r="H468" s="7" t="n"/>
      <c r="I468" s="7" t="n"/>
      <c r="J468" s="9">
        <f>IF(OR(I468="",H468="Opted out",H468="Replied - no"),"",IF(TODAY()&gt;I468,"OVERDUE",""))</f>
        <v/>
      </c>
      <c r="K468" s="7" t="n"/>
    </row>
    <row r="469">
      <c r="A469" s="7" t="n"/>
      <c r="B469" s="7" t="n"/>
      <c r="C469" s="7" t="n"/>
      <c r="D469" s="7" t="n"/>
      <c r="E469" s="7" t="n"/>
      <c r="F469" s="7" t="n"/>
      <c r="G469" s="7" t="n"/>
      <c r="H469" s="7" t="n"/>
      <c r="I469" s="7" t="n"/>
      <c r="J469" s="9">
        <f>IF(OR(I469="",H469="Opted out",H469="Replied - no"),"",IF(TODAY()&gt;I469,"OVERDUE",""))</f>
        <v/>
      </c>
      <c r="K469" s="7" t="n"/>
    </row>
    <row r="470">
      <c r="A470" s="7" t="n"/>
      <c r="B470" s="7" t="n"/>
      <c r="C470" s="7" t="n"/>
      <c r="D470" s="7" t="n"/>
      <c r="E470" s="7" t="n"/>
      <c r="F470" s="7" t="n"/>
      <c r="G470" s="7" t="n"/>
      <c r="H470" s="7" t="n"/>
      <c r="I470" s="7" t="n"/>
      <c r="J470" s="9">
        <f>IF(OR(I470="",H470="Opted out",H470="Replied - no"),"",IF(TODAY()&gt;I470,"OVERDUE",""))</f>
        <v/>
      </c>
      <c r="K470" s="7" t="n"/>
    </row>
    <row r="471">
      <c r="A471" s="7" t="n"/>
      <c r="B471" s="7" t="n"/>
      <c r="C471" s="7" t="n"/>
      <c r="D471" s="7" t="n"/>
      <c r="E471" s="7" t="n"/>
      <c r="F471" s="7" t="n"/>
      <c r="G471" s="7" t="n"/>
      <c r="H471" s="7" t="n"/>
      <c r="I471" s="7" t="n"/>
      <c r="J471" s="9">
        <f>IF(OR(I471="",H471="Opted out",H471="Replied - no"),"",IF(TODAY()&gt;I471,"OVERDUE",""))</f>
        <v/>
      </c>
      <c r="K471" s="7" t="n"/>
    </row>
    <row r="472">
      <c r="A472" s="7" t="n"/>
      <c r="B472" s="7" t="n"/>
      <c r="C472" s="7" t="n"/>
      <c r="D472" s="7" t="n"/>
      <c r="E472" s="7" t="n"/>
      <c r="F472" s="7" t="n"/>
      <c r="G472" s="7" t="n"/>
      <c r="H472" s="7" t="n"/>
      <c r="I472" s="7" t="n"/>
      <c r="J472" s="9">
        <f>IF(OR(I472="",H472="Opted out",H472="Replied - no"),"",IF(TODAY()&gt;I472,"OVERDUE",""))</f>
        <v/>
      </c>
      <c r="K472" s="7" t="n"/>
    </row>
    <row r="473">
      <c r="A473" s="7" t="n"/>
      <c r="B473" s="7" t="n"/>
      <c r="C473" s="7" t="n"/>
      <c r="D473" s="7" t="n"/>
      <c r="E473" s="7" t="n"/>
      <c r="F473" s="7" t="n"/>
      <c r="G473" s="7" t="n"/>
      <c r="H473" s="7" t="n"/>
      <c r="I473" s="7" t="n"/>
      <c r="J473" s="9">
        <f>IF(OR(I473="",H473="Opted out",H473="Replied - no"),"",IF(TODAY()&gt;I473,"OVERDUE",""))</f>
        <v/>
      </c>
      <c r="K473" s="7" t="n"/>
    </row>
    <row r="474">
      <c r="A474" s="7" t="n"/>
      <c r="B474" s="7" t="n"/>
      <c r="C474" s="7" t="n"/>
      <c r="D474" s="7" t="n"/>
      <c r="E474" s="7" t="n"/>
      <c r="F474" s="7" t="n"/>
      <c r="G474" s="7" t="n"/>
      <c r="H474" s="7" t="n"/>
      <c r="I474" s="7" t="n"/>
      <c r="J474" s="9">
        <f>IF(OR(I474="",H474="Opted out",H474="Replied - no"),"",IF(TODAY()&gt;I474,"OVERDUE",""))</f>
        <v/>
      </c>
      <c r="K474" s="7" t="n"/>
    </row>
    <row r="475">
      <c r="A475" s="7" t="n"/>
      <c r="B475" s="7" t="n"/>
      <c r="C475" s="7" t="n"/>
      <c r="D475" s="7" t="n"/>
      <c r="E475" s="7" t="n"/>
      <c r="F475" s="7" t="n"/>
      <c r="G475" s="7" t="n"/>
      <c r="H475" s="7" t="n"/>
      <c r="I475" s="7" t="n"/>
      <c r="J475" s="9">
        <f>IF(OR(I475="",H475="Opted out",H475="Replied - no"),"",IF(TODAY()&gt;I475,"OVERDUE",""))</f>
        <v/>
      </c>
      <c r="K475" s="7" t="n"/>
    </row>
    <row r="476">
      <c r="A476" s="7" t="n"/>
      <c r="B476" s="7" t="n"/>
      <c r="C476" s="7" t="n"/>
      <c r="D476" s="7" t="n"/>
      <c r="E476" s="7" t="n"/>
      <c r="F476" s="7" t="n"/>
      <c r="G476" s="7" t="n"/>
      <c r="H476" s="7" t="n"/>
      <c r="I476" s="7" t="n"/>
      <c r="J476" s="9">
        <f>IF(OR(I476="",H476="Opted out",H476="Replied - no"),"",IF(TODAY()&gt;I476,"OVERDUE",""))</f>
        <v/>
      </c>
      <c r="K476" s="7" t="n"/>
    </row>
    <row r="477">
      <c r="A477" s="7" t="n"/>
      <c r="B477" s="7" t="n"/>
      <c r="C477" s="7" t="n"/>
      <c r="D477" s="7" t="n"/>
      <c r="E477" s="7" t="n"/>
      <c r="F477" s="7" t="n"/>
      <c r="G477" s="7" t="n"/>
      <c r="H477" s="7" t="n"/>
      <c r="I477" s="7" t="n"/>
      <c r="J477" s="9">
        <f>IF(OR(I477="",H477="Opted out",H477="Replied - no"),"",IF(TODAY()&gt;I477,"OVERDUE",""))</f>
        <v/>
      </c>
      <c r="K477" s="7" t="n"/>
    </row>
    <row r="478">
      <c r="A478" s="7" t="n"/>
      <c r="B478" s="7" t="n"/>
      <c r="C478" s="7" t="n"/>
      <c r="D478" s="7" t="n"/>
      <c r="E478" s="7" t="n"/>
      <c r="F478" s="7" t="n"/>
      <c r="G478" s="7" t="n"/>
      <c r="H478" s="7" t="n"/>
      <c r="I478" s="7" t="n"/>
      <c r="J478" s="9">
        <f>IF(OR(I478="",H478="Opted out",H478="Replied - no"),"",IF(TODAY()&gt;I478,"OVERDUE",""))</f>
        <v/>
      </c>
      <c r="K478" s="7" t="n"/>
    </row>
    <row r="479">
      <c r="A479" s="7" t="n"/>
      <c r="B479" s="7" t="n"/>
      <c r="C479" s="7" t="n"/>
      <c r="D479" s="7" t="n"/>
      <c r="E479" s="7" t="n"/>
      <c r="F479" s="7" t="n"/>
      <c r="G479" s="7" t="n"/>
      <c r="H479" s="7" t="n"/>
      <c r="I479" s="7" t="n"/>
      <c r="J479" s="9">
        <f>IF(OR(I479="",H479="Opted out",H479="Replied - no"),"",IF(TODAY()&gt;I479,"OVERDUE",""))</f>
        <v/>
      </c>
      <c r="K479" s="7" t="n"/>
    </row>
    <row r="480">
      <c r="A480" s="7" t="n"/>
      <c r="B480" s="7" t="n"/>
      <c r="C480" s="7" t="n"/>
      <c r="D480" s="7" t="n"/>
      <c r="E480" s="7" t="n"/>
      <c r="F480" s="7" t="n"/>
      <c r="G480" s="7" t="n"/>
      <c r="H480" s="7" t="n"/>
      <c r="I480" s="7" t="n"/>
      <c r="J480" s="9">
        <f>IF(OR(I480="",H480="Opted out",H480="Replied - no"),"",IF(TODAY()&gt;I480,"OVERDUE",""))</f>
        <v/>
      </c>
      <c r="K480" s="7" t="n"/>
    </row>
    <row r="481">
      <c r="A481" s="7" t="n"/>
      <c r="B481" s="7" t="n"/>
      <c r="C481" s="7" t="n"/>
      <c r="D481" s="7" t="n"/>
      <c r="E481" s="7" t="n"/>
      <c r="F481" s="7" t="n"/>
      <c r="G481" s="7" t="n"/>
      <c r="H481" s="7" t="n"/>
      <c r="I481" s="7" t="n"/>
      <c r="J481" s="9">
        <f>IF(OR(I481="",H481="Opted out",H481="Replied - no"),"",IF(TODAY()&gt;I481,"OVERDUE",""))</f>
        <v/>
      </c>
      <c r="K481" s="7" t="n"/>
    </row>
    <row r="482">
      <c r="A482" s="7" t="n"/>
      <c r="B482" s="7" t="n"/>
      <c r="C482" s="7" t="n"/>
      <c r="D482" s="7" t="n"/>
      <c r="E482" s="7" t="n"/>
      <c r="F482" s="7" t="n"/>
      <c r="G482" s="7" t="n"/>
      <c r="H482" s="7" t="n"/>
      <c r="I482" s="7" t="n"/>
      <c r="J482" s="9">
        <f>IF(OR(I482="",H482="Opted out",H482="Replied - no"),"",IF(TODAY()&gt;I482,"OVERDUE",""))</f>
        <v/>
      </c>
      <c r="K482" s="7" t="n"/>
    </row>
    <row r="483">
      <c r="A483" s="7" t="n"/>
      <c r="B483" s="7" t="n"/>
      <c r="C483" s="7" t="n"/>
      <c r="D483" s="7" t="n"/>
      <c r="E483" s="7" t="n"/>
      <c r="F483" s="7" t="n"/>
      <c r="G483" s="7" t="n"/>
      <c r="H483" s="7" t="n"/>
      <c r="I483" s="7" t="n"/>
      <c r="J483" s="9">
        <f>IF(OR(I483="",H483="Opted out",H483="Replied - no"),"",IF(TODAY()&gt;I483,"OVERDUE",""))</f>
        <v/>
      </c>
      <c r="K483" s="7" t="n"/>
    </row>
    <row r="484">
      <c r="A484" s="7" t="n"/>
      <c r="B484" s="7" t="n"/>
      <c r="C484" s="7" t="n"/>
      <c r="D484" s="7" t="n"/>
      <c r="E484" s="7" t="n"/>
      <c r="F484" s="7" t="n"/>
      <c r="G484" s="7" t="n"/>
      <c r="H484" s="7" t="n"/>
      <c r="I484" s="7" t="n"/>
      <c r="J484" s="9">
        <f>IF(OR(I484="",H484="Opted out",H484="Replied - no"),"",IF(TODAY()&gt;I484,"OVERDUE",""))</f>
        <v/>
      </c>
      <c r="K484" s="7" t="n"/>
    </row>
    <row r="485">
      <c r="A485" s="7" t="n"/>
      <c r="B485" s="7" t="n"/>
      <c r="C485" s="7" t="n"/>
      <c r="D485" s="7" t="n"/>
      <c r="E485" s="7" t="n"/>
      <c r="F485" s="7" t="n"/>
      <c r="G485" s="7" t="n"/>
      <c r="H485" s="7" t="n"/>
      <c r="I485" s="7" t="n"/>
      <c r="J485" s="9">
        <f>IF(OR(I485="",H485="Opted out",H485="Replied - no"),"",IF(TODAY()&gt;I485,"OVERDUE",""))</f>
        <v/>
      </c>
      <c r="K485" s="7" t="n"/>
    </row>
    <row r="486">
      <c r="A486" s="7" t="n"/>
      <c r="B486" s="7" t="n"/>
      <c r="C486" s="7" t="n"/>
      <c r="D486" s="7" t="n"/>
      <c r="E486" s="7" t="n"/>
      <c r="F486" s="7" t="n"/>
      <c r="G486" s="7" t="n"/>
      <c r="H486" s="7" t="n"/>
      <c r="I486" s="7" t="n"/>
      <c r="J486" s="9">
        <f>IF(OR(I486="",H486="Opted out",H486="Replied - no"),"",IF(TODAY()&gt;I486,"OVERDUE",""))</f>
        <v/>
      </c>
      <c r="K486" s="7" t="n"/>
    </row>
    <row r="487">
      <c r="A487" s="7" t="n"/>
      <c r="B487" s="7" t="n"/>
      <c r="C487" s="7" t="n"/>
      <c r="D487" s="7" t="n"/>
      <c r="E487" s="7" t="n"/>
      <c r="F487" s="7" t="n"/>
      <c r="G487" s="7" t="n"/>
      <c r="H487" s="7" t="n"/>
      <c r="I487" s="7" t="n"/>
      <c r="J487" s="9">
        <f>IF(OR(I487="",H487="Opted out",H487="Replied - no"),"",IF(TODAY()&gt;I487,"OVERDUE",""))</f>
        <v/>
      </c>
      <c r="K487" s="7" t="n"/>
    </row>
    <row r="488">
      <c r="A488" s="7" t="n"/>
      <c r="B488" s="7" t="n"/>
      <c r="C488" s="7" t="n"/>
      <c r="D488" s="7" t="n"/>
      <c r="E488" s="7" t="n"/>
      <c r="F488" s="7" t="n"/>
      <c r="G488" s="7" t="n"/>
      <c r="H488" s="7" t="n"/>
      <c r="I488" s="7" t="n"/>
      <c r="J488" s="9">
        <f>IF(OR(I488="",H488="Opted out",H488="Replied - no"),"",IF(TODAY()&gt;I488,"OVERDUE",""))</f>
        <v/>
      </c>
      <c r="K488" s="7" t="n"/>
    </row>
    <row r="489">
      <c r="A489" s="7" t="n"/>
      <c r="B489" s="7" t="n"/>
      <c r="C489" s="7" t="n"/>
      <c r="D489" s="7" t="n"/>
      <c r="E489" s="7" t="n"/>
      <c r="F489" s="7" t="n"/>
      <c r="G489" s="7" t="n"/>
      <c r="H489" s="7" t="n"/>
      <c r="I489" s="7" t="n"/>
      <c r="J489" s="9">
        <f>IF(OR(I489="",H489="Opted out",H489="Replied - no"),"",IF(TODAY()&gt;I489,"OVERDUE",""))</f>
        <v/>
      </c>
      <c r="K489" s="7" t="n"/>
    </row>
    <row r="490">
      <c r="A490" s="7" t="n"/>
      <c r="B490" s="7" t="n"/>
      <c r="C490" s="7" t="n"/>
      <c r="D490" s="7" t="n"/>
      <c r="E490" s="7" t="n"/>
      <c r="F490" s="7" t="n"/>
      <c r="G490" s="7" t="n"/>
      <c r="H490" s="7" t="n"/>
      <c r="I490" s="7" t="n"/>
      <c r="J490" s="9">
        <f>IF(OR(I490="",H490="Opted out",H490="Replied - no"),"",IF(TODAY()&gt;I490,"OVERDUE",""))</f>
        <v/>
      </c>
      <c r="K490" s="7" t="n"/>
    </row>
    <row r="491">
      <c r="A491" s="7" t="n"/>
      <c r="B491" s="7" t="n"/>
      <c r="C491" s="7" t="n"/>
      <c r="D491" s="7" t="n"/>
      <c r="E491" s="7" t="n"/>
      <c r="F491" s="7" t="n"/>
      <c r="G491" s="7" t="n"/>
      <c r="H491" s="7" t="n"/>
      <c r="I491" s="7" t="n"/>
      <c r="J491" s="9">
        <f>IF(OR(I491="",H491="Opted out",H491="Replied - no"),"",IF(TODAY()&gt;I491,"OVERDUE",""))</f>
        <v/>
      </c>
      <c r="K491" s="7" t="n"/>
    </row>
    <row r="492">
      <c r="A492" s="7" t="n"/>
      <c r="B492" s="7" t="n"/>
      <c r="C492" s="7" t="n"/>
      <c r="D492" s="7" t="n"/>
      <c r="E492" s="7" t="n"/>
      <c r="F492" s="7" t="n"/>
      <c r="G492" s="7" t="n"/>
      <c r="H492" s="7" t="n"/>
      <c r="I492" s="7" t="n"/>
      <c r="J492" s="9">
        <f>IF(OR(I492="",H492="Opted out",H492="Replied - no"),"",IF(TODAY()&gt;I492,"OVERDUE",""))</f>
        <v/>
      </c>
      <c r="K492" s="7" t="n"/>
    </row>
    <row r="493">
      <c r="A493" s="7" t="n"/>
      <c r="B493" s="7" t="n"/>
      <c r="C493" s="7" t="n"/>
      <c r="D493" s="7" t="n"/>
      <c r="E493" s="7" t="n"/>
      <c r="F493" s="7" t="n"/>
      <c r="G493" s="7" t="n"/>
      <c r="H493" s="7" t="n"/>
      <c r="I493" s="7" t="n"/>
      <c r="J493" s="9">
        <f>IF(OR(I493="",H493="Opted out",H493="Replied - no"),"",IF(TODAY()&gt;I493,"OVERDUE",""))</f>
        <v/>
      </c>
      <c r="K493" s="7" t="n"/>
    </row>
    <row r="494">
      <c r="A494" s="7" t="n"/>
      <c r="B494" s="7" t="n"/>
      <c r="C494" s="7" t="n"/>
      <c r="D494" s="7" t="n"/>
      <c r="E494" s="7" t="n"/>
      <c r="F494" s="7" t="n"/>
      <c r="G494" s="7" t="n"/>
      <c r="H494" s="7" t="n"/>
      <c r="I494" s="7" t="n"/>
      <c r="J494" s="9">
        <f>IF(OR(I494="",H494="Opted out",H494="Replied - no"),"",IF(TODAY()&gt;I494,"OVERDUE",""))</f>
        <v/>
      </c>
      <c r="K494" s="7" t="n"/>
    </row>
    <row r="495">
      <c r="A495" s="7" t="n"/>
      <c r="B495" s="7" t="n"/>
      <c r="C495" s="7" t="n"/>
      <c r="D495" s="7" t="n"/>
      <c r="E495" s="7" t="n"/>
      <c r="F495" s="7" t="n"/>
      <c r="G495" s="7" t="n"/>
      <c r="H495" s="7" t="n"/>
      <c r="I495" s="7" t="n"/>
      <c r="J495" s="9">
        <f>IF(OR(I495="",H495="Opted out",H495="Replied - no"),"",IF(TODAY()&gt;I495,"OVERDUE",""))</f>
        <v/>
      </c>
      <c r="K495" s="7" t="n"/>
    </row>
    <row r="496">
      <c r="A496" s="7" t="n"/>
      <c r="B496" s="7" t="n"/>
      <c r="C496" s="7" t="n"/>
      <c r="D496" s="7" t="n"/>
      <c r="E496" s="7" t="n"/>
      <c r="F496" s="7" t="n"/>
      <c r="G496" s="7" t="n"/>
      <c r="H496" s="7" t="n"/>
      <c r="I496" s="7" t="n"/>
      <c r="J496" s="9">
        <f>IF(OR(I496="",H496="Opted out",H496="Replied - no"),"",IF(TODAY()&gt;I496,"OVERDUE",""))</f>
        <v/>
      </c>
      <c r="K496" s="7" t="n"/>
    </row>
    <row r="497">
      <c r="A497" s="7" t="n"/>
      <c r="B497" s="7" t="n"/>
      <c r="C497" s="7" t="n"/>
      <c r="D497" s="7" t="n"/>
      <c r="E497" s="7" t="n"/>
      <c r="F497" s="7" t="n"/>
      <c r="G497" s="7" t="n"/>
      <c r="H497" s="7" t="n"/>
      <c r="I497" s="7" t="n"/>
      <c r="J497" s="9">
        <f>IF(OR(I497="",H497="Opted out",H497="Replied - no"),"",IF(TODAY()&gt;I497,"OVERDUE",""))</f>
        <v/>
      </c>
      <c r="K497" s="7" t="n"/>
    </row>
    <row r="498">
      <c r="A498" s="7" t="n"/>
      <c r="B498" s="7" t="n"/>
      <c r="C498" s="7" t="n"/>
      <c r="D498" s="7" t="n"/>
      <c r="E498" s="7" t="n"/>
      <c r="F498" s="7" t="n"/>
      <c r="G498" s="7" t="n"/>
      <c r="H498" s="7" t="n"/>
      <c r="I498" s="7" t="n"/>
      <c r="J498" s="9">
        <f>IF(OR(I498="",H498="Opted out",H498="Replied - no"),"",IF(TODAY()&gt;I498,"OVERDUE",""))</f>
        <v/>
      </c>
      <c r="K498" s="7" t="n"/>
    </row>
    <row r="499">
      <c r="A499" s="7" t="n"/>
      <c r="B499" s="7" t="n"/>
      <c r="C499" s="7" t="n"/>
      <c r="D499" s="7" t="n"/>
      <c r="E499" s="7" t="n"/>
      <c r="F499" s="7" t="n"/>
      <c r="G499" s="7" t="n"/>
      <c r="H499" s="7" t="n"/>
      <c r="I499" s="7" t="n"/>
      <c r="J499" s="9">
        <f>IF(OR(I499="",H499="Opted out",H499="Replied - no"),"",IF(TODAY()&gt;I499,"OVERDUE",""))</f>
        <v/>
      </c>
      <c r="K499" s="7" t="n"/>
    </row>
    <row r="500">
      <c r="A500" s="7" t="n"/>
      <c r="B500" s="7" t="n"/>
      <c r="C500" s="7" t="n"/>
      <c r="D500" s="7" t="n"/>
      <c r="E500" s="7" t="n"/>
      <c r="F500" s="7" t="n"/>
      <c r="G500" s="7" t="n"/>
      <c r="H500" s="7" t="n"/>
      <c r="I500" s="7" t="n"/>
      <c r="J500" s="9">
        <f>IF(OR(I500="",H500="Opted out",H500="Replied - no"),"",IF(TODAY()&gt;I500,"OVERDUE",""))</f>
        <v/>
      </c>
      <c r="K500" s="7" t="n"/>
    </row>
    <row r="501">
      <c r="A501" s="7" t="n"/>
      <c r="B501" s="7" t="n"/>
      <c r="C501" s="7" t="n"/>
      <c r="D501" s="7" t="n"/>
      <c r="E501" s="7" t="n"/>
      <c r="F501" s="7" t="n"/>
      <c r="G501" s="7" t="n"/>
      <c r="H501" s="7" t="n"/>
      <c r="I501" s="7" t="n"/>
      <c r="J501" s="9">
        <f>IF(OR(I501="",H501="Opted out",H501="Replied - no"),"",IF(TODAY()&gt;I501,"OVERDUE",""))</f>
        <v/>
      </c>
      <c r="K501" s="7" t="n"/>
    </row>
    <row r="502">
      <c r="A502" s="7" t="n"/>
      <c r="B502" s="7" t="n"/>
      <c r="C502" s="7" t="n"/>
      <c r="D502" s="7" t="n"/>
      <c r="E502" s="7" t="n"/>
      <c r="F502" s="7" t="n"/>
      <c r="G502" s="7" t="n"/>
      <c r="H502" s="7" t="n"/>
      <c r="I502" s="7" t="n"/>
      <c r="J502" s="9">
        <f>IF(OR(I502="",H502="Opted out",H502="Replied - no"),"",IF(TODAY()&gt;I502,"OVERDUE",""))</f>
        <v/>
      </c>
      <c r="K502" s="7" t="n"/>
    </row>
    <row r="503">
      <c r="A503" s="7" t="n"/>
      <c r="B503" s="7" t="n"/>
      <c r="C503" s="7" t="n"/>
      <c r="D503" s="7" t="n"/>
      <c r="E503" s="7" t="n"/>
      <c r="F503" s="7" t="n"/>
      <c r="G503" s="7" t="n"/>
      <c r="H503" s="7" t="n"/>
      <c r="I503" s="7" t="n"/>
      <c r="J503" s="9">
        <f>IF(OR(I503="",H503="Opted out",H503="Replied - no"),"",IF(TODAY()&gt;I503,"OVERDUE",""))</f>
        <v/>
      </c>
      <c r="K503" s="7" t="n"/>
    </row>
  </sheetData>
  <autoFilter ref="A3:K503"/>
  <conditionalFormatting sqref="J4:J503">
    <cfRule type="cellIs" priority="1" operator="equal" dxfId="2">
      <formula>"OVERDUE"</formula>
    </cfRule>
  </conditionalFormatting>
  <conditionalFormatting sqref="H4:H503">
    <cfRule type="cellIs" priority="2" operator="equal" dxfId="1">
      <formula>"Opted out"</formula>
    </cfRule>
    <cfRule type="cellIs" priority="3" operator="equal" dxfId="0">
      <formula>"Replied - positive"</formula>
    </cfRule>
  </conditionalFormatting>
  <dataValidations count="2">
    <dataValidation sqref="E4:E504" showDropDown="0" showInputMessage="0" showErrorMessage="0" allowBlank="1" type="list">
      <formula1>Lists!$J$1:$J$4</formula1>
    </dataValidation>
    <dataValidation sqref="H4:H504" showDropDown="0" showInputMessage="0" showErrorMessage="0" allowBlank="1" type="list">
      <formula1>Lists!$K$1:$K$9</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8"/>
  <sheetViews>
    <sheetView showGridLines="0" workbookViewId="0">
      <pane ySplit="4" topLeftCell="A5" activePane="bottomLeft" state="frozen"/>
      <selection pane="bottomLeft" activeCell="A1" sqref="A1"/>
    </sheetView>
  </sheetViews>
  <sheetFormatPr baseColWidth="8" defaultRowHeight="15"/>
  <cols>
    <col width="24" customWidth="1" min="1" max="1"/>
    <col width="11" customWidth="1" min="2" max="2"/>
    <col width="20" customWidth="1" min="3" max="3"/>
    <col width="22" customWidth="1" min="4" max="4"/>
    <col width="4" customWidth="1" min="5" max="5"/>
    <col width="26" customWidth="1" min="6" max="6"/>
    <col width="11" customWidth="1" min="7" max="7"/>
    <col width="4" customWidth="1" min="8" max="8"/>
    <col width="30" customWidth="1" min="9" max="9"/>
    <col width="13" customWidth="1" min="10" max="10"/>
  </cols>
  <sheetData>
    <row r="1">
      <c r="A1" s="1" t="inlineStr">
        <is>
          <t>Pipeline</t>
        </is>
      </c>
    </row>
    <row r="2">
      <c r="A2" s="2" t="inlineStr">
        <is>
          <t>A live view. Nothing is typed here — it reads from Account Tracker.</t>
        </is>
      </c>
    </row>
    <row r="3">
      <c r="A3" s="4" t="inlineStr">
        <is>
          <t>By stage</t>
        </is>
      </c>
      <c r="F3" s="4" t="inlineStr">
        <is>
          <t>By band</t>
        </is>
      </c>
      <c r="I3" s="4" t="inlineStr">
        <is>
          <t>Health checks — all should read 0</t>
        </is>
      </c>
    </row>
    <row r="4">
      <c r="A4" s="6" t="inlineStr">
        <is>
          <t>Stage</t>
        </is>
      </c>
      <c r="B4" s="6" t="inlineStr">
        <is>
          <t>Accounts</t>
        </is>
      </c>
      <c r="C4" s="6" t="inlineStr">
        <is>
          <t>Est. monthly value</t>
        </is>
      </c>
      <c r="D4" s="6" t="inlineStr">
        <is>
          <t>Overdue next actions</t>
        </is>
      </c>
      <c r="E4" s="6" t="n"/>
      <c r="F4" s="6" t="inlineStr">
        <is>
          <t>Band</t>
        </is>
      </c>
      <c r="G4" s="6" t="inlineStr">
        <is>
          <t>Accounts</t>
        </is>
      </c>
      <c r="H4" s="6" t="n"/>
      <c r="I4" s="6" t="inlineStr">
        <is>
          <t>Check</t>
        </is>
      </c>
      <c r="J4" s="6" t="inlineStr">
        <is>
          <t>Count</t>
        </is>
      </c>
    </row>
    <row r="5">
      <c r="A5" s="12" t="inlineStr">
        <is>
          <t>Target</t>
        </is>
      </c>
      <c r="B5" s="12">
        <f>COUNTIF('Account Tracker'!$P$4:$P$403,A5)</f>
        <v/>
      </c>
      <c r="C5" s="13">
        <f>SUMIF('Account Tracker'!$P$4:$P$403,A5,'Account Tracker'!$H$4:$H$403)</f>
        <v/>
      </c>
      <c r="D5" s="12">
        <f>COUNTIFS('Account Tracker'!$P$4:$P$403,A5,'Account Tracker'!$T$4:$T$403,"&gt;0")</f>
        <v/>
      </c>
      <c r="F5" s="12" t="inlineStr">
        <is>
          <t>Priority</t>
        </is>
      </c>
      <c r="G5" s="12">
        <f>COUNTIF('Account Tracker'!$O$4:$O$403,F5)</f>
        <v/>
      </c>
      <c r="I5" s="12" t="inlineStr">
        <is>
          <t>Active accounts with no next action</t>
        </is>
      </c>
      <c r="J5" s="12">
        <f>COUNTIFS('Account Tracker'!$P$4:$P$403,"&lt;&gt;",'Account Tracker'!$R$4:$R$403,"")-COUNTIF('Account Tracker'!$P$4:$P$403,"Won")-COUNTIF('Account Tracker'!$P$4:$P$403,"Lost")-COUNTIF('Account Tracker'!$P$4:$P$403,"Disqualified")</f>
        <v/>
      </c>
    </row>
    <row r="6">
      <c r="A6" s="12" t="inlineStr">
        <is>
          <t>Researching</t>
        </is>
      </c>
      <c r="B6" s="12">
        <f>COUNTIF('Account Tracker'!$P$4:$P$403,A6)</f>
        <v/>
      </c>
      <c r="C6" s="13">
        <f>SUMIF('Account Tracker'!$P$4:$P$403,A6,'Account Tracker'!$H$4:$H$403)</f>
        <v/>
      </c>
      <c r="D6" s="12">
        <f>COUNTIFS('Account Tracker'!$P$4:$P$403,A6,'Account Tracker'!$T$4:$T$403,"&gt;0")</f>
        <v/>
      </c>
      <c r="F6" s="12" t="inlineStr">
        <is>
          <t>Active</t>
        </is>
      </c>
      <c r="G6" s="12">
        <f>COUNTIF('Account Tracker'!$O$4:$O$403,F6)</f>
        <v/>
      </c>
      <c r="I6" s="12" t="inlineStr">
        <is>
          <t>Overdue next actions</t>
        </is>
      </c>
      <c r="J6" s="12">
        <f>COUNTIF('Account Tracker'!$T$4:$T$403,"&gt;0")</f>
        <v/>
      </c>
    </row>
    <row r="7">
      <c r="A7" s="12" t="inlineStr">
        <is>
          <t>Contacted</t>
        </is>
      </c>
      <c r="B7" s="12">
        <f>COUNTIF('Account Tracker'!$P$4:$P$403,A7)</f>
        <v/>
      </c>
      <c r="C7" s="13">
        <f>SUMIF('Account Tracker'!$P$4:$P$403,A7,'Account Tracker'!$H$4:$H$403)</f>
        <v/>
      </c>
      <c r="D7" s="12">
        <f>COUNTIFS('Account Tracker'!$P$4:$P$403,A7,'Account Tracker'!$T$4:$T$403,"&gt;0")</f>
        <v/>
      </c>
      <c r="F7" s="12" t="inlineStr">
        <is>
          <t>Nurture / research</t>
        </is>
      </c>
      <c r="G7" s="12">
        <f>COUNTIF('Account Tracker'!$O$4:$O$403,F7)</f>
        <v/>
      </c>
      <c r="I7" s="12" t="inlineStr">
        <is>
          <t>Duplicate websites</t>
        </is>
      </c>
      <c r="J7" s="12">
        <f>COUNTIF('Account Tracker'!$X$4:$X$403,"DUPLICATE")</f>
        <v/>
      </c>
    </row>
    <row r="8">
      <c r="A8" s="12" t="inlineStr">
        <is>
          <t>Follow-up</t>
        </is>
      </c>
      <c r="B8" s="12">
        <f>COUNTIF('Account Tracker'!$P$4:$P$403,A8)</f>
        <v/>
      </c>
      <c r="C8" s="13">
        <f>SUMIF('Account Tracker'!$P$4:$P$403,A8,'Account Tracker'!$H$4:$H$403)</f>
        <v/>
      </c>
      <c r="D8" s="12">
        <f>COUNTIFS('Account Tracker'!$P$4:$P$403,A8,'Account Tracker'!$T$4:$T$403,"&gt;0")</f>
        <v/>
      </c>
      <c r="F8" s="12" t="inlineStr">
        <is>
          <t>Park</t>
        </is>
      </c>
      <c r="G8" s="12">
        <f>COUNTIF('Account Tracker'!$O$4:$O$403,F8)</f>
        <v/>
      </c>
      <c r="I8" s="12" t="inlineStr">
        <is>
          <t>Expired triggers still logged</t>
        </is>
      </c>
      <c r="J8" s="12">
        <f>COUNTIF('Trigger Tracker'!$L$4:$L$303,"Expired")</f>
        <v/>
      </c>
    </row>
    <row r="9">
      <c r="A9" s="12" t="inlineStr">
        <is>
          <t>Conversation</t>
        </is>
      </c>
      <c r="B9" s="12">
        <f>COUNTIF('Account Tracker'!$P$4:$P$403,A9)</f>
        <v/>
      </c>
      <c r="C9" s="13">
        <f>SUMIF('Account Tracker'!$P$4:$P$403,A9,'Account Tracker'!$H$4:$H$403)</f>
        <v/>
      </c>
      <c r="D9" s="12">
        <f>COUNTIFS('Account Tracker'!$P$4:$P$403,A9,'Account Tracker'!$T$4:$T$403,"&gt;0")</f>
        <v/>
      </c>
      <c r="I9" s="12" t="inlineStr">
        <is>
          <t>Triggers missing a source or date</t>
        </is>
      </c>
      <c r="J9" s="12">
        <f>SUMPRODUCT(('Trigger Tracker'!$G$4:$G$303&lt;&gt;"")*(('Trigger Tracker'!$H$4:$H$303="")+('Trigger Tracker'!$I$4:$I$303="")&gt;0))</f>
        <v/>
      </c>
    </row>
    <row r="10">
      <c r="A10" s="12" t="inlineStr">
        <is>
          <t>Walkthrough Scheduled</t>
        </is>
      </c>
      <c r="B10" s="12">
        <f>COUNTIF('Account Tracker'!$P$4:$P$403,A10)</f>
        <v/>
      </c>
      <c r="C10" s="13">
        <f>SUMIF('Account Tracker'!$P$4:$P$403,A10,'Account Tracker'!$H$4:$H$403)</f>
        <v/>
      </c>
      <c r="D10" s="12">
        <f>COUNTIFS('Account Tracker'!$P$4:$P$403,A10,'Account Tracker'!$T$4:$T$403,"&gt;0")</f>
        <v/>
      </c>
      <c r="I10" s="12" t="inlineStr">
        <is>
          <t>Overdue follow-ups</t>
        </is>
      </c>
      <c r="J10" s="12">
        <f>COUNTIF('Follow-up Tracker'!$J$4:$J$503,"OVERDUE")</f>
        <v/>
      </c>
    </row>
    <row r="11">
      <c r="A11" s="12" t="inlineStr">
        <is>
          <t>Walkthrough Complete</t>
        </is>
      </c>
      <c r="B11" s="12">
        <f>COUNTIF('Account Tracker'!$P$4:$P$403,A11)</f>
        <v/>
      </c>
      <c r="C11" s="13">
        <f>SUMIF('Account Tracker'!$P$4:$P$403,A11,'Account Tracker'!$H$4:$H$403)</f>
        <v/>
      </c>
      <c r="D11" s="12">
        <f>COUNTIFS('Account Tracker'!$P$4:$P$403,A11,'Account Tracker'!$T$4:$T$403,"&gt;0")</f>
        <v/>
      </c>
      <c r="I11" s="12" t="inlineStr">
        <is>
          <t>Contacts marked opted out</t>
        </is>
      </c>
      <c r="J11" s="12">
        <f>COUNTIF('Contact Tracker'!$O$4:$O$303,"Yes")</f>
        <v/>
      </c>
    </row>
    <row r="12">
      <c r="A12" s="12" t="inlineStr">
        <is>
          <t>Proposal Sent</t>
        </is>
      </c>
      <c r="B12" s="12">
        <f>COUNTIF('Account Tracker'!$P$4:$P$403,A12)</f>
        <v/>
      </c>
      <c r="C12" s="13">
        <f>SUMIF('Account Tracker'!$P$4:$P$403,A12,'Account Tracker'!$H$4:$H$403)</f>
        <v/>
      </c>
      <c r="D12" s="12">
        <f>COUNTIFS('Account Tracker'!$P$4:$P$403,A12,'Account Tracker'!$T$4:$T$403,"&gt;0")</f>
        <v/>
      </c>
    </row>
    <row r="13">
      <c r="A13" s="12" t="inlineStr">
        <is>
          <t>Negotiation</t>
        </is>
      </c>
      <c r="B13" s="12">
        <f>COUNTIF('Account Tracker'!$P$4:$P$403,A13)</f>
        <v/>
      </c>
      <c r="C13" s="13">
        <f>SUMIF('Account Tracker'!$P$4:$P$403,A13,'Account Tracker'!$H$4:$H$403)</f>
        <v/>
      </c>
      <c r="D13" s="12">
        <f>COUNTIFS('Account Tracker'!$P$4:$P$403,A13,'Account Tracker'!$T$4:$T$403,"&gt;0")</f>
        <v/>
      </c>
      <c r="I13" s="2" t="inlineStr">
        <is>
          <t>Opted-out contacts are not a problem to fix — they are a record to keep.</t>
        </is>
      </c>
    </row>
    <row r="14">
      <c r="A14" s="12" t="inlineStr">
        <is>
          <t>Won</t>
        </is>
      </c>
      <c r="B14" s="12">
        <f>COUNTIF('Account Tracker'!$P$4:$P$403,A14)</f>
        <v/>
      </c>
      <c r="C14" s="13">
        <f>SUMIF('Account Tracker'!$P$4:$P$403,A14,'Account Tracker'!$H$4:$H$403)</f>
        <v/>
      </c>
      <c r="D14" s="12">
        <f>COUNTIFS('Account Tracker'!$P$4:$P$403,A14,'Account Tracker'!$T$4:$T$403,"&gt;0")</f>
        <v/>
      </c>
    </row>
    <row r="15">
      <c r="A15" s="12" t="inlineStr">
        <is>
          <t>Lost</t>
        </is>
      </c>
      <c r="B15" s="12">
        <f>COUNTIF('Account Tracker'!$P$4:$P$403,A15)</f>
        <v/>
      </c>
      <c r="C15" s="13">
        <f>SUMIF('Account Tracker'!$P$4:$P$403,A15,'Account Tracker'!$H$4:$H$403)</f>
        <v/>
      </c>
      <c r="D15" s="12">
        <f>COUNTIFS('Account Tracker'!$P$4:$P$403,A15,'Account Tracker'!$T$4:$T$403,"&gt;0")</f>
        <v/>
      </c>
    </row>
    <row r="16">
      <c r="A16" s="12" t="inlineStr">
        <is>
          <t>Nurture</t>
        </is>
      </c>
      <c r="B16" s="12">
        <f>COUNTIF('Account Tracker'!$P$4:$P$403,A16)</f>
        <v/>
      </c>
      <c r="C16" s="13">
        <f>SUMIF('Account Tracker'!$P$4:$P$403,A16,'Account Tracker'!$H$4:$H$403)</f>
        <v/>
      </c>
      <c r="D16" s="12">
        <f>COUNTIFS('Account Tracker'!$P$4:$P$403,A16,'Account Tracker'!$T$4:$T$403,"&gt;0")</f>
        <v/>
      </c>
    </row>
    <row r="17">
      <c r="A17" s="12" t="inlineStr">
        <is>
          <t>Disqualified</t>
        </is>
      </c>
      <c r="B17" s="12">
        <f>COUNTIF('Account Tracker'!$P$4:$P$403,A17)</f>
        <v/>
      </c>
      <c r="C17" s="13">
        <f>SUMIF('Account Tracker'!$P$4:$P$403,A17,'Account Tracker'!$H$4:$H$403)</f>
        <v/>
      </c>
      <c r="D17" s="12">
        <f>COUNTIFS('Account Tracker'!$P$4:$P$403,A17,'Account Tracker'!$T$4:$T$403,"&gt;0")</f>
        <v/>
      </c>
    </row>
    <row r="18">
      <c r="A18" s="4" t="inlineStr">
        <is>
          <t>Active (Target → Negotiation)</t>
        </is>
      </c>
      <c r="B18" s="4">
        <f>SUM(B5:B13)</f>
        <v/>
      </c>
      <c r="C18" s="14">
        <f>SUM(C5:C13)</f>
        <v/>
      </c>
      <c r="D18" s="4">
        <f>SUM(D5:D13)</f>
        <v/>
      </c>
    </row>
  </sheetData>
  <conditionalFormatting sqref="J5">
    <cfRule type="cellIs" priority="1" operator="greaterThan" dxfId="2">
      <formula>0</formula>
    </cfRule>
  </conditionalFormatting>
  <conditionalFormatting sqref="J6">
    <cfRule type="cellIs" priority="2" operator="greaterThan" dxfId="2">
      <formula>0</formula>
    </cfRule>
  </conditionalFormatting>
  <conditionalFormatting sqref="J7">
    <cfRule type="cellIs" priority="3" operator="greaterThan" dxfId="2">
      <formula>0</formula>
    </cfRule>
  </conditionalFormatting>
  <conditionalFormatting sqref="J8">
    <cfRule type="cellIs" priority="4" operator="greaterThan" dxfId="2">
      <formula>0</formula>
    </cfRule>
  </conditionalFormatting>
  <conditionalFormatting sqref="J9">
    <cfRule type="cellIs" priority="5" operator="greaterThan" dxfId="2">
      <formula>0</formula>
    </cfRule>
  </conditionalFormatting>
  <conditionalFormatting sqref="J10">
    <cfRule type="cellIs" priority="6" operator="greaterThan" dxfId="2">
      <formula>0</formula>
    </cfRule>
  </conditionalFormatting>
  <conditionalFormatting sqref="J11">
    <cfRule type="cellIs" priority="7" operator="greaterThan" dxfId="2">
      <formula>0</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34"/>
  <sheetViews>
    <sheetView showGridLines="0" workbookViewId="0">
      <selection activeCell="A1" sqref="A1"/>
    </sheetView>
  </sheetViews>
  <sheetFormatPr baseColWidth="8" defaultRowHeight="15"/>
  <cols>
    <col width="3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s>
  <sheetData>
    <row r="1">
      <c r="A1" s="1" t="inlineStr">
        <is>
          <t>Weekly Metrics</t>
        </is>
      </c>
    </row>
    <row r="2">
      <c r="A2" s="2" t="inlineStr">
        <is>
          <t>Fill one column each Friday. Ten minutes. The ratios calculate themselves.</t>
        </is>
      </c>
    </row>
    <row r="3">
      <c r="A3" s="15" t="inlineStr">
        <is>
          <t>Week ending</t>
        </is>
      </c>
      <c r="B3" s="16">
        <f>TODAY()-70</f>
        <v/>
      </c>
      <c r="C3" s="16">
        <f>B3+7</f>
        <v/>
      </c>
      <c r="D3" s="16">
        <f>C3+7</f>
        <v/>
      </c>
      <c r="E3" s="16">
        <f>D3+7</f>
        <v/>
      </c>
      <c r="F3" s="16">
        <f>E3+7</f>
        <v/>
      </c>
      <c r="G3" s="16">
        <f>F3+7</f>
        <v/>
      </c>
      <c r="H3" s="16">
        <f>G3+7</f>
        <v/>
      </c>
      <c r="I3" s="16">
        <f>H3+7</f>
        <v/>
      </c>
      <c r="J3" s="16">
        <f>I3+7</f>
        <v/>
      </c>
      <c r="K3" s="16">
        <f>J3+7</f>
        <v/>
      </c>
      <c r="L3" s="16">
        <f>K3+7</f>
        <v/>
      </c>
      <c r="M3" s="16">
        <f>L3+7</f>
        <v/>
      </c>
    </row>
    <row r="4">
      <c r="A4" s="12" t="inlineStr">
        <is>
          <t>Qualified accounts added</t>
        </is>
      </c>
      <c r="B4" s="17" t="n"/>
      <c r="C4" s="17" t="n"/>
      <c r="D4" s="17" t="n"/>
      <c r="E4" s="17" t="n"/>
      <c r="F4" s="17" t="n"/>
      <c r="G4" s="17" t="n"/>
      <c r="H4" s="17" t="n"/>
      <c r="I4" s="17" t="n"/>
      <c r="J4" s="17" t="n"/>
      <c r="K4" s="17" t="n"/>
      <c r="L4" s="17" t="n"/>
      <c r="M4" s="17" t="n"/>
    </row>
    <row r="5">
      <c r="A5" s="12" t="inlineStr">
        <is>
          <t>Verified decision makers</t>
        </is>
      </c>
      <c r="B5" s="17" t="n"/>
      <c r="C5" s="17" t="n"/>
      <c r="D5" s="17" t="n"/>
      <c r="E5" s="17" t="n"/>
      <c r="F5" s="17" t="n"/>
      <c r="G5" s="17" t="n"/>
      <c r="H5" s="17" t="n"/>
      <c r="I5" s="17" t="n"/>
      <c r="J5" s="17" t="n"/>
      <c r="K5" s="17" t="n"/>
      <c r="L5" s="17" t="n"/>
      <c r="M5" s="17" t="n"/>
    </row>
    <row r="6">
      <c r="A6" s="12" t="inlineStr">
        <is>
          <t>Trigger-qualified accounts</t>
        </is>
      </c>
      <c r="B6" s="17" t="n"/>
      <c r="C6" s="17" t="n"/>
      <c r="D6" s="17" t="n"/>
      <c r="E6" s="17" t="n"/>
      <c r="F6" s="17" t="n"/>
      <c r="G6" s="17" t="n"/>
      <c r="H6" s="17" t="n"/>
      <c r="I6" s="17" t="n"/>
      <c r="J6" s="17" t="n"/>
      <c r="K6" s="17" t="n"/>
      <c r="L6" s="17" t="n"/>
      <c r="M6" s="17" t="n"/>
    </row>
    <row r="7">
      <c r="A7" s="12" t="inlineStr">
        <is>
          <t>Outreach sent</t>
        </is>
      </c>
      <c r="B7" s="17" t="n"/>
      <c r="C7" s="17" t="n"/>
      <c r="D7" s="17" t="n"/>
      <c r="E7" s="17" t="n"/>
      <c r="F7" s="17" t="n"/>
      <c r="G7" s="17" t="n"/>
      <c r="H7" s="17" t="n"/>
      <c r="I7" s="17" t="n"/>
      <c r="J7" s="17" t="n"/>
      <c r="K7" s="17" t="n"/>
      <c r="L7" s="17" t="n"/>
      <c r="M7" s="17" t="n"/>
    </row>
    <row r="8">
      <c r="A8" s="12" t="inlineStr">
        <is>
          <t>Follow-ups sent</t>
        </is>
      </c>
      <c r="B8" s="17" t="n"/>
      <c r="C8" s="17" t="n"/>
      <c r="D8" s="17" t="n"/>
      <c r="E8" s="17" t="n"/>
      <c r="F8" s="17" t="n"/>
      <c r="G8" s="17" t="n"/>
      <c r="H8" s="17" t="n"/>
      <c r="I8" s="17" t="n"/>
      <c r="J8" s="17" t="n"/>
      <c r="K8" s="17" t="n"/>
      <c r="L8" s="17" t="n"/>
      <c r="M8" s="17" t="n"/>
    </row>
    <row r="9">
      <c r="A9" s="12" t="inlineStr">
        <is>
          <t>Replies</t>
        </is>
      </c>
      <c r="B9" s="17" t="n"/>
      <c r="C9" s="17" t="n"/>
      <c r="D9" s="17" t="n"/>
      <c r="E9" s="17" t="n"/>
      <c r="F9" s="17" t="n"/>
      <c r="G9" s="17" t="n"/>
      <c r="H9" s="17" t="n"/>
      <c r="I9" s="17" t="n"/>
      <c r="J9" s="17" t="n"/>
      <c r="K9" s="17" t="n"/>
      <c r="L9" s="17" t="n"/>
      <c r="M9" s="17" t="n"/>
    </row>
    <row r="10">
      <c r="A10" s="12" t="inlineStr">
        <is>
          <t>Positive replies</t>
        </is>
      </c>
      <c r="B10" s="17" t="n"/>
      <c r="C10" s="17" t="n"/>
      <c r="D10" s="17" t="n"/>
      <c r="E10" s="17" t="n"/>
      <c r="F10" s="17" t="n"/>
      <c r="G10" s="17" t="n"/>
      <c r="H10" s="17" t="n"/>
      <c r="I10" s="17" t="n"/>
      <c r="J10" s="17" t="n"/>
      <c r="K10" s="17" t="n"/>
      <c r="L10" s="17" t="n"/>
      <c r="M10" s="17" t="n"/>
    </row>
    <row r="11">
      <c r="A11" s="12" t="inlineStr">
        <is>
          <t>Conversations</t>
        </is>
      </c>
      <c r="B11" s="17" t="n"/>
      <c r="C11" s="17" t="n"/>
      <c r="D11" s="17" t="n"/>
      <c r="E11" s="17" t="n"/>
      <c r="F11" s="17" t="n"/>
      <c r="G11" s="17" t="n"/>
      <c r="H11" s="17" t="n"/>
      <c r="I11" s="17" t="n"/>
      <c r="J11" s="17" t="n"/>
      <c r="K11" s="17" t="n"/>
      <c r="L11" s="17" t="n"/>
      <c r="M11" s="17" t="n"/>
    </row>
    <row r="12">
      <c r="A12" s="12" t="inlineStr">
        <is>
          <t>Walkthroughs</t>
        </is>
      </c>
      <c r="B12" s="17" t="n"/>
      <c r="C12" s="17" t="n"/>
      <c r="D12" s="17" t="n"/>
      <c r="E12" s="17" t="n"/>
      <c r="F12" s="17" t="n"/>
      <c r="G12" s="17" t="n"/>
      <c r="H12" s="17" t="n"/>
      <c r="I12" s="17" t="n"/>
      <c r="J12" s="17" t="n"/>
      <c r="K12" s="17" t="n"/>
      <c r="L12" s="17" t="n"/>
      <c r="M12" s="17" t="n"/>
    </row>
    <row r="13">
      <c r="A13" s="12" t="inlineStr">
        <is>
          <t>Proposals sent</t>
        </is>
      </c>
      <c r="B13" s="17" t="n"/>
      <c r="C13" s="17" t="n"/>
      <c r="D13" s="17" t="n"/>
      <c r="E13" s="17" t="n"/>
      <c r="F13" s="17" t="n"/>
      <c r="G13" s="17" t="n"/>
      <c r="H13" s="17" t="n"/>
      <c r="I13" s="17" t="n"/>
      <c r="J13" s="17" t="n"/>
      <c r="K13" s="17" t="n"/>
      <c r="L13" s="17" t="n"/>
      <c r="M13" s="17" t="n"/>
    </row>
    <row r="14">
      <c r="A14" s="12" t="inlineStr">
        <is>
          <t>Wins</t>
        </is>
      </c>
      <c r="B14" s="17" t="n"/>
      <c r="C14" s="17" t="n"/>
      <c r="D14" s="17" t="n"/>
      <c r="E14" s="17" t="n"/>
      <c r="F14" s="17" t="n"/>
      <c r="G14" s="17" t="n"/>
      <c r="H14" s="17" t="n"/>
      <c r="I14" s="17" t="n"/>
      <c r="J14" s="17" t="n"/>
      <c r="K14" s="17" t="n"/>
      <c r="L14" s="17" t="n"/>
      <c r="M14" s="17" t="n"/>
    </row>
    <row r="15">
      <c r="A15" s="12" t="inlineStr">
        <is>
          <t>New recurring revenue won ($/mo)</t>
        </is>
      </c>
      <c r="B15" s="17" t="n"/>
      <c r="C15" s="17" t="n"/>
      <c r="D15" s="17" t="n"/>
      <c r="E15" s="17" t="n"/>
      <c r="F15" s="17" t="n"/>
      <c r="G15" s="17" t="n"/>
      <c r="H15" s="17" t="n"/>
      <c r="I15" s="17" t="n"/>
      <c r="J15" s="17" t="n"/>
      <c r="K15" s="17" t="n"/>
      <c r="L15" s="17" t="n"/>
      <c r="M15" s="17" t="n"/>
    </row>
    <row r="16">
      <c r="A16" s="18" t="inlineStr">
        <is>
          <t>Reply rate</t>
        </is>
      </c>
      <c r="B16" s="19">
        <f>IF(OR(B6="",B6=0),"",B8/B6)</f>
        <v/>
      </c>
      <c r="C16" s="19">
        <f>IF(OR(C6="",C6=0),"",C8/C6)</f>
        <v/>
      </c>
      <c r="D16" s="19">
        <f>IF(OR(D6="",D6=0),"",D8/D6)</f>
        <v/>
      </c>
      <c r="E16" s="19">
        <f>IF(OR(E6="",E6=0),"",E8/E6)</f>
        <v/>
      </c>
      <c r="F16" s="19">
        <f>IF(OR(F6="",F6=0),"",F8/F6)</f>
        <v/>
      </c>
      <c r="G16" s="19">
        <f>IF(OR(G6="",G6=0),"",G8/G6)</f>
        <v/>
      </c>
      <c r="H16" s="19">
        <f>IF(OR(H6="",H6=0),"",H8/H6)</f>
        <v/>
      </c>
      <c r="I16" s="19">
        <f>IF(OR(I6="",I6=0),"",I8/I6)</f>
        <v/>
      </c>
      <c r="J16" s="19">
        <f>IF(OR(J6="",J6=0),"",J8/J6)</f>
        <v/>
      </c>
      <c r="K16" s="19">
        <f>IF(OR(K6="",K6=0),"",K8/K6)</f>
        <v/>
      </c>
      <c r="L16" s="19">
        <f>IF(OR(L6="",L6=0),"",L8/L6)</f>
        <v/>
      </c>
      <c r="M16" s="19">
        <f>IF(OR(M6="",M6=0),"",M8/M6)</f>
        <v/>
      </c>
    </row>
    <row r="17">
      <c r="A17" s="18" t="inlineStr">
        <is>
          <t>Positive reply rate</t>
        </is>
      </c>
      <c r="B17" s="19">
        <f>IF(OR(B6="",B6=0),"",B9/B6)</f>
        <v/>
      </c>
      <c r="C17" s="19">
        <f>IF(OR(C6="",C6=0),"",C9/C6)</f>
        <v/>
      </c>
      <c r="D17" s="19">
        <f>IF(OR(D6="",D6=0),"",D9/D6)</f>
        <v/>
      </c>
      <c r="E17" s="19">
        <f>IF(OR(E6="",E6=0),"",E9/E6)</f>
        <v/>
      </c>
      <c r="F17" s="19">
        <f>IF(OR(F6="",F6=0),"",F9/F6)</f>
        <v/>
      </c>
      <c r="G17" s="19">
        <f>IF(OR(G6="",G6=0),"",G9/G6)</f>
        <v/>
      </c>
      <c r="H17" s="19">
        <f>IF(OR(H6="",H6=0),"",H9/H6)</f>
        <v/>
      </c>
      <c r="I17" s="19">
        <f>IF(OR(I6="",I6=0),"",I9/I6)</f>
        <v/>
      </c>
      <c r="J17" s="19">
        <f>IF(OR(J6="",J6=0),"",J9/J6)</f>
        <v/>
      </c>
      <c r="K17" s="19">
        <f>IF(OR(K6="",K6=0),"",K9/K6)</f>
        <v/>
      </c>
      <c r="L17" s="19">
        <f>IF(OR(L6="",L6=0),"",L9/L6)</f>
        <v/>
      </c>
      <c r="M17" s="19">
        <f>IF(OR(M6="",M6=0),"",M9/M6)</f>
        <v/>
      </c>
    </row>
    <row r="18">
      <c r="A18" s="18" t="inlineStr">
        <is>
          <t>Positive → conversation</t>
        </is>
      </c>
      <c r="B18" s="19">
        <f>IF(OR(B9="",B9=0),"",B10/B9)</f>
        <v/>
      </c>
      <c r="C18" s="19">
        <f>IF(OR(C9="",C9=0),"",C10/C9)</f>
        <v/>
      </c>
      <c r="D18" s="19">
        <f>IF(OR(D9="",D9=0),"",D10/D9)</f>
        <v/>
      </c>
      <c r="E18" s="19">
        <f>IF(OR(E9="",E9=0),"",E10/E9)</f>
        <v/>
      </c>
      <c r="F18" s="19">
        <f>IF(OR(F9="",F9=0),"",F10/F9)</f>
        <v/>
      </c>
      <c r="G18" s="19">
        <f>IF(OR(G9="",G9=0),"",G10/G9)</f>
        <v/>
      </c>
      <c r="H18" s="19">
        <f>IF(OR(H9="",H9=0),"",H10/H9)</f>
        <v/>
      </c>
      <c r="I18" s="19">
        <f>IF(OR(I9="",I9=0),"",I10/I9)</f>
        <v/>
      </c>
      <c r="J18" s="19">
        <f>IF(OR(J9="",J9=0),"",J10/J9)</f>
        <v/>
      </c>
      <c r="K18" s="19">
        <f>IF(OR(K9="",K9=0),"",K10/K9)</f>
        <v/>
      </c>
      <c r="L18" s="19">
        <f>IF(OR(L9="",L9=0),"",L10/L9)</f>
        <v/>
      </c>
      <c r="M18" s="19">
        <f>IF(OR(M9="",M9=0),"",M10/M9)</f>
        <v/>
      </c>
    </row>
    <row r="19">
      <c r="A19" s="18" t="inlineStr">
        <is>
          <t>Conversation → walkthrough</t>
        </is>
      </c>
      <c r="B19" s="19">
        <f>IF(OR(B10="",B10=0),"",B11/B10)</f>
        <v/>
      </c>
      <c r="C19" s="19">
        <f>IF(OR(C10="",C10=0),"",C11/C10)</f>
        <v/>
      </c>
      <c r="D19" s="19">
        <f>IF(OR(D10="",D10=0),"",D11/D10)</f>
        <v/>
      </c>
      <c r="E19" s="19">
        <f>IF(OR(E10="",E10=0),"",E11/E10)</f>
        <v/>
      </c>
      <c r="F19" s="19">
        <f>IF(OR(F10="",F10=0),"",F11/F10)</f>
        <v/>
      </c>
      <c r="G19" s="19">
        <f>IF(OR(G10="",G10=0),"",G11/G10)</f>
        <v/>
      </c>
      <c r="H19" s="19">
        <f>IF(OR(H10="",H10=0),"",H11/H10)</f>
        <v/>
      </c>
      <c r="I19" s="19">
        <f>IF(OR(I10="",I10=0),"",I11/I10)</f>
        <v/>
      </c>
      <c r="J19" s="19">
        <f>IF(OR(J10="",J10=0),"",J11/J10)</f>
        <v/>
      </c>
      <c r="K19" s="19">
        <f>IF(OR(K10="",K10=0),"",K11/K10)</f>
        <v/>
      </c>
      <c r="L19" s="19">
        <f>IF(OR(L10="",L10=0),"",L11/L10)</f>
        <v/>
      </c>
      <c r="M19" s="19">
        <f>IF(OR(M10="",M10=0),"",M11/M10)</f>
        <v/>
      </c>
    </row>
    <row r="20">
      <c r="A20" s="18" t="inlineStr">
        <is>
          <t>Walkthrough → proposal</t>
        </is>
      </c>
      <c r="B20" s="19">
        <f>IF(OR(B11="",B11=0),"",B12/B11)</f>
        <v/>
      </c>
      <c r="C20" s="19">
        <f>IF(OR(C11="",C11=0),"",C12/C11)</f>
        <v/>
      </c>
      <c r="D20" s="19">
        <f>IF(OR(D11="",D11=0),"",D12/D11)</f>
        <v/>
      </c>
      <c r="E20" s="19">
        <f>IF(OR(E11="",E11=0),"",E12/E11)</f>
        <v/>
      </c>
      <c r="F20" s="19">
        <f>IF(OR(F11="",F11=0),"",F12/F11)</f>
        <v/>
      </c>
      <c r="G20" s="19">
        <f>IF(OR(G11="",G11=0),"",G12/G11)</f>
        <v/>
      </c>
      <c r="H20" s="19">
        <f>IF(OR(H11="",H11=0),"",H12/H11)</f>
        <v/>
      </c>
      <c r="I20" s="19">
        <f>IF(OR(I11="",I11=0),"",I12/I11)</f>
        <v/>
      </c>
      <c r="J20" s="19">
        <f>IF(OR(J11="",J11=0),"",J12/J11)</f>
        <v/>
      </c>
      <c r="K20" s="19">
        <f>IF(OR(K11="",K11=0),"",K12/K11)</f>
        <v/>
      </c>
      <c r="L20" s="19">
        <f>IF(OR(L11="",L11=0),"",L12/L11)</f>
        <v/>
      </c>
      <c r="M20" s="19">
        <f>IF(OR(M11="",M11=0),"",M12/M11)</f>
        <v/>
      </c>
    </row>
    <row r="21">
      <c r="A21" s="18" t="inlineStr">
        <is>
          <t>Proposal → win</t>
        </is>
      </c>
      <c r="B21" s="19">
        <f>IF(OR(B12="",B12=0),"",B13/B12)</f>
        <v/>
      </c>
      <c r="C21" s="19">
        <f>IF(OR(C12="",C12=0),"",C13/C12)</f>
        <v/>
      </c>
      <c r="D21" s="19">
        <f>IF(OR(D12="",D12=0),"",D13/D12)</f>
        <v/>
      </c>
      <c r="E21" s="19">
        <f>IF(OR(E12="",E12=0),"",E13/E12)</f>
        <v/>
      </c>
      <c r="F21" s="19">
        <f>IF(OR(F12="",F12=0),"",F13/F12)</f>
        <v/>
      </c>
      <c r="G21" s="19">
        <f>IF(OR(G12="",G12=0),"",G13/G12)</f>
        <v/>
      </c>
      <c r="H21" s="19">
        <f>IF(OR(H12="",H12=0),"",H13/H12)</f>
        <v/>
      </c>
      <c r="I21" s="19">
        <f>IF(OR(I12="",I12=0),"",I13/I12)</f>
        <v/>
      </c>
      <c r="J21" s="19">
        <f>IF(OR(J12="",J12=0),"",J13/J12)</f>
        <v/>
      </c>
      <c r="K21" s="19">
        <f>IF(OR(K12="",K12=0),"",K13/K12)</f>
        <v/>
      </c>
      <c r="L21" s="19">
        <f>IF(OR(L12="",L12=0),"",L13/L12)</f>
        <v/>
      </c>
      <c r="M21" s="19">
        <f>IF(OR(M12="",M12=0),"",M13/M12)</f>
        <v/>
      </c>
    </row>
    <row r="23">
      <c r="A23" s="4" t="inlineStr">
        <is>
          <t>How to read this</t>
        </is>
      </c>
    </row>
    <row r="24">
      <c r="A24" s="3" t="inlineStr">
        <is>
          <t>Two numbers matter more than the rest: positive replies per outreach sent, and walkthrough → proposal.</t>
        </is>
      </c>
    </row>
    <row r="25">
      <c r="A25" s="3" t="inlineStr">
        <is>
          <t>The first tells you whether your targeting and triggers are working. The second tells you whether your</t>
        </is>
      </c>
    </row>
    <row r="26">
      <c r="A26" s="3" t="inlineStr">
        <is>
          <t>pricing and proposals are. A weak first number is not fixed by sending more; it is fixed by better accounts.</t>
        </is>
      </c>
    </row>
    <row r="27">
      <c r="A27" s="2" t="inlineStr"/>
    </row>
    <row r="28">
      <c r="A28" s="3" t="inlineStr">
        <is>
          <t>Compare each week to your own previous weeks. Your baseline is the only benchmark that means anything —</t>
        </is>
      </c>
    </row>
    <row r="29">
      <c r="A29" s="3" t="inlineStr">
        <is>
          <t>published industry figures are mostly produced by companies selling outreach software, and the spread</t>
        </is>
      </c>
    </row>
    <row r="30">
      <c r="A30" s="3" t="inlineStr">
        <is>
          <t>between them is wide enough to justify almost any conclusion.</t>
        </is>
      </c>
    </row>
    <row r="31">
      <c r="A31" s="2" t="inlineStr"/>
    </row>
    <row r="32">
      <c r="A32" s="3" t="inlineStr">
        <is>
          <t>Give it four weeks before you read anything into a ratio. Under about ten events, you are reading noise.</t>
        </is>
      </c>
    </row>
    <row r="33">
      <c r="A33" s="2" t="inlineStr"/>
    </row>
    <row r="34">
      <c r="A34" s="3" t="inlineStr">
        <is>
          <t>If a number moves, ask what you changed. If you changed three things, you have learned nothing. Change one.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32"/>
  <sheetViews>
    <sheetView showGridLines="0" workbookViewId="0">
      <pane ySplit="3" topLeftCell="A4" activePane="bottomLeft" state="frozen"/>
      <selection pane="bottomLeft" activeCell="A1" sqref="A1"/>
    </sheetView>
  </sheetViews>
  <sheetFormatPr baseColWidth="8" defaultRowHeight="15"/>
  <cols>
    <col width="4" customWidth="1" min="1" max="1"/>
    <col width="26" customWidth="1" min="2" max="2"/>
    <col width="9" customWidth="1" min="3" max="3"/>
    <col width="7" customWidth="1" min="4" max="4"/>
    <col width="12" customWidth="1" min="5" max="5"/>
    <col width="40" customWidth="1" min="6" max="6"/>
    <col width="44" customWidth="1" min="7" max="7"/>
    <col width="44" customWidth="1" min="8" max="8"/>
  </cols>
  <sheetData>
    <row r="1">
      <c r="A1" s="1" t="inlineStr">
        <is>
          <t>Trigger Library</t>
        </is>
      </c>
    </row>
    <row r="2">
      <c r="A2" s="2" t="inlineStr">
        <is>
          <t>Eleven public signals. A trigger is an event, not a conclusion.</t>
        </is>
      </c>
    </row>
    <row r="3">
      <c r="A3" s="6" t="inlineStr">
        <is>
          <t>#</t>
        </is>
      </c>
      <c r="B3" s="6" t="inlineStr">
        <is>
          <t>Trigger type</t>
        </is>
      </c>
      <c r="C3" s="6" t="inlineStr">
        <is>
          <t>Tier</t>
        </is>
      </c>
      <c r="D3" s="6" t="inlineStr">
        <is>
          <t>Score</t>
        </is>
      </c>
      <c r="E3" s="6" t="inlineStr">
        <is>
          <t>Window (days)</t>
        </is>
      </c>
      <c r="F3" s="6" t="inlineStr">
        <is>
          <t>Where to find it</t>
        </is>
      </c>
      <c r="G3" s="6" t="inlineStr">
        <is>
          <t>What you may say</t>
        </is>
      </c>
      <c r="H3" s="6" t="inlineStr">
        <is>
          <t>What you may NOT say</t>
        </is>
      </c>
    </row>
    <row r="4" ht="34" customHeight="1">
      <c r="A4" s="7" t="n">
        <v>1</v>
      </c>
      <c r="B4" s="7" t="inlineStr">
        <is>
          <t>New location</t>
        </is>
      </c>
      <c r="C4" s="7" t="inlineStr">
        <is>
          <t>High</t>
        </is>
      </c>
      <c r="D4" s="7" t="n">
        <v>5</v>
      </c>
      <c r="E4" s="7" t="n">
        <v>120</v>
      </c>
      <c r="F4" s="7" t="inlineStr">
        <is>
          <t>New Google Business Profile under an existing brand; 'now open' notices; local business press</t>
        </is>
      </c>
      <c r="G4" s="7" t="inlineStr">
        <is>
          <t>Saw you opened the second location in August</t>
        </is>
      </c>
      <c r="H4" s="7" t="inlineStr">
        <is>
          <t>You'll need a cleaner there</t>
        </is>
      </c>
    </row>
    <row r="5" ht="34" customHeight="1">
      <c r="A5" s="7" t="n">
        <v>2</v>
      </c>
      <c r="B5" s="7" t="inlineStr">
        <is>
          <t>New facility / occupancy</t>
        </is>
      </c>
      <c r="C5" s="7" t="inlineStr">
        <is>
          <t>High</t>
        </is>
      </c>
      <c r="D5" s="7" t="n">
        <v>5</v>
      </c>
      <c r="E5" s="7" t="n">
        <v>90</v>
      </c>
      <c r="F5" s="7" t="inlineStr">
        <is>
          <t>Occupancy and tenant-improvement permits on your county or city portal</t>
        </is>
      </c>
      <c r="G5" s="7" t="inlineStr">
        <is>
          <t>Saw the new building on Commerce cleared occupancy</t>
        </is>
      </c>
      <c r="H5" s="7" t="inlineStr">
        <is>
          <t>You don't have a cleaner yet</t>
        </is>
      </c>
    </row>
    <row r="6" ht="34" customHeight="1">
      <c r="A6" s="7" t="n">
        <v>3</v>
      </c>
      <c r="B6" s="7" t="inlineStr">
        <is>
          <t>Move / relocation</t>
        </is>
      </c>
      <c r="C6" s="7" t="inlineStr">
        <is>
          <t>High</t>
        </is>
      </c>
      <c r="D6" s="7" t="n">
        <v>5</v>
      </c>
      <c r="E6" s="7" t="n">
        <v>90</v>
      </c>
      <c r="F6" s="7" t="inlineStr">
        <is>
          <t>Address change on their Google listing; 'we've moved' notices; business press</t>
        </is>
      </c>
      <c r="G6" s="7" t="inlineStr">
        <is>
          <t>Noticed you moved to Commerce Street</t>
        </is>
      </c>
      <c r="H6" s="7" t="inlineStr">
        <is>
          <t>Your old cleaner won't follow you</t>
        </is>
      </c>
    </row>
    <row r="7" ht="34" customHeight="1">
      <c r="A7" s="7" t="n">
        <v>4</v>
      </c>
      <c r="B7" s="7" t="inlineStr">
        <is>
          <t>Property management change</t>
        </is>
      </c>
      <c r="C7" s="7" t="inlineStr">
        <is>
          <t>High</t>
        </is>
      </c>
      <c r="D7" s="7" t="n">
        <v>5</v>
      </c>
      <c r="E7" s="7" t="n">
        <v>90</v>
      </c>
      <c r="F7" s="7" t="inlineStr">
        <is>
          <t>Portfolio pages on management company sites; listing management changes</t>
        </is>
      </c>
      <c r="G7" s="7" t="inlineStr">
        <is>
          <t>Saw you picked up the Elm Street building</t>
        </is>
      </c>
      <c r="H7" s="7" t="inlineStr">
        <is>
          <t>The inherited vendor won't work out</t>
        </is>
      </c>
    </row>
    <row r="8" ht="34" customHeight="1">
      <c r="A8" s="7" t="n">
        <v>5</v>
      </c>
      <c r="B8" s="7" t="inlineStr">
        <is>
          <t>Facilities or ops hiring</t>
        </is>
      </c>
      <c r="C8" s="7" t="inlineStr">
        <is>
          <t>Medium</t>
        </is>
      </c>
      <c r="D8" s="7" t="n">
        <v>3</v>
      </c>
      <c r="E8" s="7" t="n">
        <v>90</v>
      </c>
      <c r="F8" s="7" t="inlineStr">
        <is>
          <t>Indeed and LinkedIn: Facilities Manager, Office Manager, Operations Manager</t>
        </is>
      </c>
      <c r="G8" s="7" t="inlineStr">
        <is>
          <t>Saw you're hiring a facilities manager</t>
        </is>
      </c>
      <c r="H8" s="7" t="inlineStr">
        <is>
          <t>They'll want to replace their vendors</t>
        </is>
      </c>
    </row>
    <row r="9" ht="34" customHeight="1">
      <c r="A9" s="7" t="n">
        <v>6</v>
      </c>
      <c r="B9" s="7" t="inlineStr">
        <is>
          <t>Renovation / reopening</t>
        </is>
      </c>
      <c r="C9" s="7" t="inlineStr">
        <is>
          <t>Medium</t>
        </is>
      </c>
      <c r="D9" s="7" t="n">
        <v>3</v>
      </c>
      <c r="E9" s="7" t="n">
        <v>60</v>
      </c>
      <c r="F9" s="7" t="inlineStr">
        <is>
          <t>Renovation permits; reopening notices; temporary closure on their listing</t>
        </is>
      </c>
      <c r="G9" s="7" t="inlineStr">
        <is>
          <t>Saw the renovation permit for the Oak Street site</t>
        </is>
      </c>
      <c r="H9" s="7" t="inlineStr">
        <is>
          <t>You'll need post-construction cleaning</t>
        </is>
      </c>
    </row>
    <row r="10" ht="34" customHeight="1">
      <c r="A10" s="7" t="n">
        <v>7</v>
      </c>
      <c r="B10" s="7" t="inlineStr">
        <is>
          <t>Acquisition</t>
        </is>
      </c>
      <c r="C10" s="7" t="inlineStr">
        <is>
          <t>Medium</t>
        </is>
      </c>
      <c r="D10" s="7" t="n">
        <v>3</v>
      </c>
      <c r="E10" s="7" t="n">
        <v>120</v>
      </c>
      <c r="F10" s="7" t="inlineStr">
        <is>
          <t>Local business journals; press releases; state business registries</t>
        </is>
      </c>
      <c r="G10" s="7" t="inlineStr">
        <is>
          <t>Saw the acquisition announcement last month</t>
        </is>
      </c>
      <c r="H10" s="7" t="inlineStr">
        <is>
          <t>They'll be consolidating vendors</t>
        </is>
      </c>
    </row>
    <row r="11" ht="34" customHeight="1">
      <c r="A11" s="7" t="n">
        <v>8</v>
      </c>
      <c r="B11" s="7" t="inlineStr">
        <is>
          <t>Headcount growth</t>
        </is>
      </c>
      <c r="C11" s="7" t="inlineStr">
        <is>
          <t>Low</t>
        </is>
      </c>
      <c r="D11" s="7" t="n">
        <v>1</v>
      </c>
      <c r="E11" s="7" t="n">
        <v>60</v>
      </c>
      <c r="F11" s="7" t="inlineStr">
        <is>
          <t>Several open roles at one address</t>
        </is>
      </c>
      <c r="G11" s="7" t="inlineStr">
        <is>
          <t>Looks like you're growing the team there</t>
        </is>
      </c>
      <c r="H11" s="7" t="inlineStr">
        <is>
          <t>More staff means you need us</t>
        </is>
      </c>
    </row>
    <row r="12" ht="34" customHeight="1">
      <c r="A12" s="7" t="n">
        <v>9</v>
      </c>
      <c r="B12" s="7" t="inlineStr">
        <is>
          <t>Funding / news</t>
        </is>
      </c>
      <c r="C12" s="7" t="inlineStr">
        <is>
          <t>Low</t>
        </is>
      </c>
      <c r="D12" s="7" t="n">
        <v>1</v>
      </c>
      <c r="E12" s="7" t="n">
        <v>120</v>
      </c>
      <c r="F12" s="7" t="inlineStr">
        <is>
          <t>Local business journals</t>
        </is>
      </c>
      <c r="G12" s="7" t="inlineStr">
        <is>
          <t>Saw the announcement</t>
        </is>
      </c>
      <c r="H12" s="7" t="inlineStr">
        <is>
          <t>You have budget now</t>
        </is>
      </c>
    </row>
    <row r="13" ht="34" customHeight="1">
      <c r="A13" s="7" t="n">
        <v>10</v>
      </c>
      <c r="B13" s="7" t="inlineStr">
        <is>
          <t>Other</t>
        </is>
      </c>
      <c r="C13" s="7" t="inlineStr">
        <is>
          <t>Low</t>
        </is>
      </c>
      <c r="D13" s="7" t="n">
        <v>1</v>
      </c>
      <c r="E13" s="7" t="n">
        <v>60</v>
      </c>
      <c r="F13" s="7" t="inlineStr">
        <is>
          <t>Anything public, dated, and specific</t>
        </is>
      </c>
      <c r="G13" s="7" t="inlineStr">
        <is>
          <t>State exactly what you observed</t>
        </is>
      </c>
      <c r="H13" s="7" t="inlineStr">
        <is>
          <t>Anything you inferred from it</t>
        </is>
      </c>
    </row>
    <row r="14" ht="34" customHeight="1">
      <c r="A14" s="7" t="n">
        <v>11</v>
      </c>
      <c r="B14" s="7" t="inlineStr">
        <is>
          <t>Review mentions cleaning</t>
        </is>
      </c>
      <c r="C14" s="7" t="inlineStr">
        <is>
          <t>Low</t>
        </is>
      </c>
      <c r="D14" s="7" t="n">
        <v>1</v>
      </c>
      <c r="E14" s="7" t="n">
        <v>60</v>
      </c>
      <c r="F14" s="7" t="inlineStr">
        <is>
          <t>Public reviews mentioning cleanliness</t>
        </is>
      </c>
      <c r="G14" s="7" t="inlineStr">
        <is>
          <t>Nothing. Do not reference a review</t>
        </is>
      </c>
      <c r="H14" s="7" t="inlineStr">
        <is>
          <t>Anything at all — see the note below</t>
        </is>
      </c>
    </row>
    <row r="17">
      <c r="B17" s="4" t="inlineStr">
        <is>
          <t>Why review mentions score 1, not 5</t>
        </is>
      </c>
    </row>
    <row r="18">
      <c r="B18" s="3" t="inlineStr">
        <is>
          <t>A review saying the restrooms were dirty feels like the strongest signal on this page. It isn't.</t>
        </is>
      </c>
    </row>
    <row r="19">
      <c r="B19" s="3" t="inlineStr">
        <is>
          <t>It does not tell you the business controls the cleaning contract, that the reviewer was an employee</t>
        </is>
      </c>
    </row>
    <row r="20">
      <c r="B20" s="3" t="inlineStr">
        <is>
          <t>rather than a customer, that the problem is current, or that anyone is looking. It is an inference</t>
        </is>
      </c>
    </row>
    <row r="21">
      <c r="B21" s="3" t="inlineStr">
        <is>
          <t>about dissatisfaction, not an observation of a purchase window.</t>
        </is>
      </c>
    </row>
    <row r="22">
      <c r="B22" s="3" t="inlineStr">
        <is>
          <t>Use it to break a tie between two accounts that already have a real event. Never quote it to a</t>
        </is>
      </c>
    </row>
    <row r="23">
      <c r="B23" s="3" t="inlineStr">
        <is>
          <t>prospect — it reads as surveillance, and it asserts something about their vendor you cannot support.</t>
        </is>
      </c>
    </row>
    <row r="24">
      <c r="B24" s="3" t="inlineStr"/>
    </row>
    <row r="25">
      <c r="B25" s="4" t="inlineStr">
        <is>
          <t>Why the last column exists</t>
        </is>
      </c>
    </row>
    <row r="26">
      <c r="B26" s="3" t="inlineStr">
        <is>
          <t>Everything in it is a conclusion. You saw a permit. You did not see their contract.</t>
        </is>
      </c>
    </row>
    <row r="27">
      <c r="B27" s="3" t="inlineStr">
        <is>
          <t>State the event and offer to help. That is a legitimate reason to make contact, and it holds up</t>
        </is>
      </c>
    </row>
    <row r="28">
      <c r="B28" s="3" t="inlineStr">
        <is>
          <t>when someone asks how you found them.</t>
        </is>
      </c>
    </row>
    <row r="29">
      <c r="B29" s="3" t="inlineStr"/>
    </row>
    <row r="30">
      <c r="B30" s="4" t="inlineStr">
        <is>
          <t>Freshness</t>
        </is>
      </c>
    </row>
    <row r="31">
      <c r="B31" s="3" t="inlineStr">
        <is>
          <t>The window is how long the event stays worth mentioning. Past it, referencing it reads as careless.</t>
        </is>
      </c>
    </row>
    <row r="32">
      <c r="B32" s="3" t="inlineStr">
        <is>
          <t>Work the freshest first. That is the whole advantage this gives you over a list.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26" customWidth="1" min="1" max="1"/>
    <col width="26" customWidth="1" min="2" max="2"/>
    <col width="8" customWidth="1" min="3" max="3"/>
    <col width="26" customWidth="1" min="4" max="4"/>
    <col width="86" customWidth="1" min="5" max="5"/>
  </cols>
  <sheetData>
    <row r="1">
      <c r="A1" s="1" t="inlineStr">
        <is>
          <t>Outreach Templates</t>
        </is>
      </c>
    </row>
    <row r="2">
      <c r="A2" s="2" t="inlineStr">
        <is>
          <t>Six sequences. Adapt the words; keep the structure.</t>
        </is>
      </c>
    </row>
    <row r="3">
      <c r="A3" s="2" t="inlineStr">
        <is>
          <t>Every email follows four beats: what you observed → what you do → a conditional offer → an easy question.</t>
        </is>
      </c>
    </row>
    <row r="4">
      <c r="A4" s="2" t="inlineStr">
        <is>
          <t>Replace [square brackets]. Delete anything that isn't true for you.</t>
        </is>
      </c>
    </row>
    <row r="6">
      <c r="A6" s="6" t="inlineStr">
        <is>
          <t>Template</t>
        </is>
      </c>
      <c r="B6" s="6" t="inlineStr">
        <is>
          <t>Use when</t>
        </is>
      </c>
      <c r="C6" s="6" t="inlineStr">
        <is>
          <t>Email</t>
        </is>
      </c>
      <c r="D6" s="6" t="inlineStr">
        <is>
          <t>Subject</t>
        </is>
      </c>
      <c r="E6" s="6" t="inlineStr">
        <is>
          <t>Body</t>
        </is>
      </c>
    </row>
    <row r="7" ht="118" customHeight="1">
      <c r="A7" s="7" t="inlineStr">
        <is>
          <t>Property management</t>
        </is>
      </c>
      <c r="B7" s="7" t="inlineStr">
        <is>
          <t>New building in their portfolio</t>
        </is>
      </c>
      <c r="C7" s="7" t="n">
        <v>1</v>
      </c>
      <c r="D7" s="7" t="inlineStr">
        <is>
          <t>the [street] building</t>
        </is>
      </c>
      <c r="E7" s="7" t="inlineStr">
        <is>
          <t>Hi [First name] — I noticed [company] recently added the [street] property to your portfolio.
We handle recurring janitorial for commercial buildings around [area].
If you're reviewing cleaning coverage there, or inherited an arrangement you're still weighing up, I'd be glad to walk it and give you a scoped number.
Would a short call this week be useful?
— [Your name], [Your company]</t>
        </is>
      </c>
    </row>
    <row r="8" ht="118" customHeight="1">
      <c r="A8" s="7" t="inlineStr"/>
      <c r="B8" s="7" t="inlineStr"/>
      <c r="C8" s="7" t="n">
        <v>2</v>
      </c>
      <c r="D8" s="7" t="inlineStr">
        <is>
          <t>re: the [street] building</t>
        </is>
      </c>
      <c r="E8" s="7" t="inlineStr">
        <is>
          <t>[First name] — following up briefly.
Two things I'd want to know if I were you: how fast the vendor picks up the phone, and whether tenant complaints ever reach the owner.
Happy to walk the building and put a scoped proposal together, whether or not anything changes today.
Worth fifteen minutes?</t>
        </is>
      </c>
    </row>
    <row r="9" ht="96" customHeight="1">
      <c r="A9" s="7" t="inlineStr"/>
      <c r="B9" s="7" t="inlineStr"/>
      <c r="C9" s="7" t="n">
        <v>3</v>
      </c>
      <c r="D9" s="7" t="inlineStr">
        <is>
          <t>closing the loop</t>
        </is>
      </c>
      <c r="E9" s="7" t="inlineStr">
        <is>
          <t>[First name] — I'll leave it there.
If it's useful, tell me roughly when the current arrangement comes up for review and I'll check back then rather than filling your inbox.
Either way, good luck with the new property.</t>
        </is>
      </c>
    </row>
    <row r="10" ht="118" customHeight="1">
      <c r="A10" s="7" t="inlineStr">
        <is>
          <t>Medical - new location</t>
        </is>
      </c>
      <c r="B10" s="7" t="inlineStr">
        <is>
          <t>They moved or opened</t>
        </is>
      </c>
      <c r="C10" s="7" t="n">
        <v>1</v>
      </c>
      <c r="D10" s="7" t="inlineStr">
        <is>
          <t>the new [street] office</t>
        </is>
      </c>
      <c r="E10" s="7" t="inlineStr">
        <is>
          <t>Hi [First name] — I saw [practice] opened at [street] last month. Congratulations.
We do recurring cleaning for medical and dental offices around [area] — after-hours, with documented restroom and treatment-room protocols.
If cleaning for the new space is still being arranged, I'd be glad to walk it and put a scope and price together.
Would Tuesday or Thursday suit for fifteen minutes?</t>
        </is>
      </c>
    </row>
    <row r="11" ht="96" customHeight="1">
      <c r="A11" s="7" t="inlineStr"/>
      <c r="B11" s="7" t="inlineStr"/>
      <c r="C11" s="7" t="n">
        <v>2</v>
      </c>
      <c r="D11" s="7" t="inlineStr">
        <is>
          <t>re: the new [street] office</t>
        </is>
      </c>
      <c r="E11" s="7" t="inlineStr">
        <is>
          <t>[First name] — one thing worth asking whoever you use: whether they document what was cleaned, room by room.
For a medical space it's useful to have that on file if anyone ever asks.
Happy to show you what our reporting looks like, no obligation.</t>
        </is>
      </c>
    </row>
    <row r="12" ht="96" customHeight="1">
      <c r="A12" s="7" t="inlineStr"/>
      <c r="B12" s="7" t="inlineStr"/>
      <c r="C12" s="7" t="n">
        <v>3</v>
      </c>
      <c r="D12" s="7" t="inlineStr">
        <is>
          <t>closing the loop</t>
        </is>
      </c>
      <c r="E12" s="7" t="inlineStr">
        <is>
          <t>[First name] — I'll stop here.
If the timing isn't right, no problem at all. If it changes, the offer to walk the space stands.
Either way, good luck with [the new space / the year].</t>
        </is>
      </c>
    </row>
    <row r="13" ht="118" customHeight="1">
      <c r="A13" s="7" t="inlineStr">
        <is>
          <t>Office - move</t>
        </is>
      </c>
      <c r="B13" s="7" t="inlineStr">
        <is>
          <t>They moved or opened</t>
        </is>
      </c>
      <c r="C13" s="7" t="n">
        <v>1</v>
      </c>
      <c r="D13" s="7" t="inlineStr">
        <is>
          <t>your move to [street]</t>
        </is>
      </c>
      <c r="E13" s="7" t="inlineStr">
        <is>
          <t>Hi [First name] — noticed [company] moved into [street] recently.
We handle nightly and weekly cleaning for offices around [area].
A move means sorting out a lot of vendors at once. If cleaning is still on that list, I can walk the space and have a scoped proposal to you in two days.
Would a quick call this week help?</t>
        </is>
      </c>
    </row>
    <row r="14" ht="118" customHeight="1">
      <c r="A14" s="7" t="inlineStr"/>
      <c r="B14" s="7" t="inlineStr"/>
      <c r="C14" s="7" t="n">
        <v>2</v>
      </c>
      <c r="D14" s="7" t="inlineStr">
        <is>
          <t>re: your move to [street]</t>
        </is>
      </c>
      <c r="E14" s="7" t="inlineStr">
        <is>
          <t>[First name] — briefly.
If you're comparing providers, two questions worth asking each one: will it be the same crew every time, and what response time will they put in writing.
Those are usually where the differences show up.
Happy to walk the space either way.</t>
        </is>
      </c>
    </row>
    <row r="15" ht="96" customHeight="1">
      <c r="A15" s="7" t="inlineStr"/>
      <c r="B15" s="7" t="inlineStr"/>
      <c r="C15" s="7" t="n">
        <v>3</v>
      </c>
      <c r="D15" s="7" t="inlineStr">
        <is>
          <t>closing the loop</t>
        </is>
      </c>
      <c r="E15" s="7" t="inlineStr">
        <is>
          <t>[First name] — I'll stop here.
If the timing isn't right, no problem at all. If it changes, the offer to walk the space stands.
Either way, good luck with [the new space / the year].</t>
        </is>
      </c>
    </row>
    <row r="16" ht="118" customHeight="1">
      <c r="A16" s="7" t="inlineStr">
        <is>
          <t>Office - facilities hire</t>
        </is>
      </c>
      <c r="B16" s="7" t="inlineStr">
        <is>
          <t>They posted a facilities role</t>
        </is>
      </c>
      <c r="C16" s="7" t="n">
        <v>1</v>
      </c>
      <c r="D16" s="7" t="inlineStr">
        <is>
          <t>saw the facilities role</t>
        </is>
      </c>
      <c r="E16" s="7" t="inlineStr">
        <is>
          <t>Hi [First name] — saw [company] is hiring a facilities manager.
We provide recurring commercial cleaning around [area]. When facilities becomes someone's actual job, vendor arrangements usually get reviewed at some point.
No rush on my side. If it'd be useful to have a scoped quote on file for when that happens, I'm glad to walk the space.
Worth a short call?</t>
        </is>
      </c>
    </row>
    <row r="17" ht="96" customHeight="1">
      <c r="A17" s="7" t="inlineStr"/>
      <c r="B17" s="7" t="inlineStr"/>
      <c r="C17" s="7" t="n">
        <v>2</v>
      </c>
      <c r="D17" s="7" t="inlineStr">
        <is>
          <t>closing the loop</t>
        </is>
      </c>
      <c r="E17" s="7" t="inlineStr">
        <is>
          <t>[First name] — I'll stop here.
If the timing isn't right, no problem at all. If it changes, the offer to walk the space stands.
Either way, good luck with [the new space / the year].</t>
        </is>
      </c>
    </row>
    <row r="18" ht="118" customHeight="1">
      <c r="A18" s="7" t="inlineStr">
        <is>
          <t>Industrial - new facility</t>
        </is>
      </c>
      <c r="B18" s="7" t="inlineStr">
        <is>
          <t>Occupancy or renovation</t>
        </is>
      </c>
      <c r="C18" s="7" t="n">
        <v>1</v>
      </c>
      <c r="D18" s="7" t="inlineStr">
        <is>
          <t>the [street] facility</t>
        </is>
      </c>
      <c r="E18" s="7" t="inlineStr">
        <is>
          <t>Hi [First name] — I saw the [street] facility recently cleared occupancy.
We handle recurring cleaning for industrial and warehouse space around [area] — floors, restrooms, break areas, and post-construction cleanup where it's needed.
If cleaning for the new space isn't settled, I'd be glad to walk it.
Would next week work?</t>
        </is>
      </c>
    </row>
    <row r="19" ht="96" customHeight="1">
      <c r="A19" s="7" t="inlineStr"/>
      <c r="B19" s="7" t="inlineStr"/>
      <c r="C19" s="7" t="n">
        <v>2</v>
      </c>
      <c r="D19" s="7" t="inlineStr">
        <is>
          <t>closing the loop</t>
        </is>
      </c>
      <c r="E19" s="7" t="inlineStr">
        <is>
          <t>[First name] — I'll stop here.
If the timing isn't right, no problem at all. If it changes, the offer to walk the space stands.
Either way, good luck with [the new space / the year].</t>
        </is>
      </c>
    </row>
    <row r="20" ht="118" customHeight="1">
      <c r="A20" s="7" t="inlineStr">
        <is>
          <t>School / daycare</t>
        </is>
      </c>
      <c r="B20" s="7" t="inlineStr">
        <is>
          <t>New site, renovation, or before term</t>
        </is>
      </c>
      <c r="C20" s="7" t="n">
        <v>1</v>
      </c>
      <c r="D20" s="7" t="inlineStr">
        <is>
          <t>cleaning coverage for [school]</t>
        </is>
      </c>
      <c r="E20" s="7" t="inlineStr">
        <is>
          <t>Hi [First name] — I work with schools and childcare centres around [area] on recurring cleaning.
I noticed [school] [what you observed].
Two things I'd expect matter here: the same crew each time, and staff who've been background-checked. Both are things I can put in writing.
Happy to walk the site and put a scope together.</t>
        </is>
      </c>
    </row>
    <row r="21" ht="96" customHeight="1">
      <c r="A21" s="7" t="inlineStr"/>
      <c r="B21" s="7" t="inlineStr"/>
      <c r="C21" s="7" t="n">
        <v>2</v>
      </c>
      <c r="D21" s="7" t="inlineStr">
        <is>
          <t>closing the loop</t>
        </is>
      </c>
      <c r="E21" s="7" t="inlineStr">
        <is>
          <t>[First name] — I'll stop here.
If the timing isn't right, no problem at all. If it changes, the offer to walk the space stands.
Either way, good luck with [the new space / the year].</t>
        </is>
      </c>
    </row>
    <row r="23">
      <c r="A23" s="4" t="inlineStr">
        <is>
          <t>Rules that matter more than the wording</t>
        </is>
      </c>
    </row>
    <row r="24">
      <c r="A24" s="3" t="inlineStr">
        <is>
          <t>Three emails, then stop. A fourth doesn't win the contract and costs you the chance to come back.</t>
        </is>
      </c>
    </row>
    <row r="25">
      <c r="A25" s="3" t="inlineStr">
        <is>
          <t>Never say a prospect has no cleaner, is unhappy, or is shopping. You cannot know it.</t>
        </is>
      </c>
    </row>
    <row r="26">
      <c r="A26" s="3" t="inlineStr">
        <is>
          <t>Use a conditional: 'if cleaning is still being arranged' — not 'you need a cleaner'.</t>
        </is>
      </c>
    </row>
    <row r="27">
      <c r="A27" s="3" t="inlineStr">
        <is>
          <t>Plain text. No images, no logo block, no tracking pixel.</t>
        </is>
      </c>
    </row>
    <row r="28">
      <c r="A28" s="3" t="inlineStr">
        <is>
          <t>Every email needs your business name, a real postal address, and a way to opt out.</t>
        </is>
      </c>
    </row>
    <row r="29">
      <c r="A29" s="3" t="inlineStr">
        <is>
          <t>Honour any opt-out immediately and permanently, across email and phone. Never re-add.</t>
        </is>
      </c>
    </row>
    <row r="30">
      <c r="A30" s="3" t="inlineStr">
        <is>
          <t>Never quote a review back to someone.</t>
        </is>
      </c>
    </row>
    <row r="31">
      <c r="A31" s="3" t="inlineStr">
        <is>
          <t>If you change one thing at a time, you'll learn something. If you change five, you won't.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51"/>
  <sheetViews>
    <sheetView showGridLines="0" workbookViewId="0">
      <selection activeCell="A1" sqref="A1"/>
    </sheetView>
  </sheetViews>
  <sheetFormatPr baseColWidth="8" defaultRowHeight="15"/>
  <cols>
    <col width="3" customWidth="1" min="1" max="1"/>
    <col width="92" customWidth="1" min="2" max="2"/>
  </cols>
  <sheetData>
    <row r="1">
      <c r="A1" s="1" t="inlineStr">
        <is>
          <t>Instructions</t>
        </is>
      </c>
    </row>
    <row r="2">
      <c r="A2" s="2" t="inlineStr">
        <is>
          <t>How each tab works, and the handful of rules that keep it honest.</t>
        </is>
      </c>
    </row>
    <row r="4">
      <c r="B4" s="4" t="inlineStr">
        <is>
          <t>Account Tracker</t>
        </is>
      </c>
    </row>
    <row r="5">
      <c r="B5" s="3" t="inlineStr">
        <is>
          <t>One row per building. Fill the left side by hand; the grey columns calculate.</t>
        </is>
      </c>
    </row>
    <row r="6">
      <c r="B6" s="3" t="inlineStr">
        <is>
          <t>Score with the four dropdowns. TOTAL and Band appear automatically.</t>
        </is>
      </c>
    </row>
    <row r="7">
      <c r="B7" s="3" t="inlineStr">
        <is>
          <t>Fit 0-5: is this the kind of building you should pursue? 0 means disqualify.</t>
        </is>
      </c>
    </row>
    <row r="8">
      <c r="B8" s="3" t="inlineStr">
        <is>
          <t>Value 0-5: is it worth the effort if you win it? Estimate from square footage and frequency.</t>
        </is>
      </c>
    </row>
    <row r="9">
      <c r="B9" s="3" t="inlineStr">
        <is>
          <t>Trigger 0-5: pull this from Trigger Tracker. No dated source means 0.</t>
        </is>
      </c>
    </row>
    <row r="10">
      <c r="B10" s="3" t="inlineStr">
        <is>
          <t>Access 0-3: 3 only when you have a named person, the right role, and a verified email.</t>
        </is>
      </c>
    </row>
    <row r="11">
      <c r="B11" s="3" t="inlineStr">
        <is>
          <t>Service 0-2: could you actually service it? 0 means disqualify.</t>
        </is>
      </c>
    </row>
    <row r="12">
      <c r="B12" s="3" t="inlineStr"/>
    </row>
    <row r="13">
      <c r="B13" s="3" t="inlineStr">
        <is>
          <t>Bands: 16-20 work now. 12-15 work in order. 8-11 research or wait. Below 8, stop.</t>
        </is>
      </c>
    </row>
    <row r="14">
      <c r="B14" s="3" t="inlineStr">
        <is>
          <t>Below 8 the account isn't worthless — it's just more expensive to chase than it returns.</t>
        </is>
      </c>
    </row>
    <row r="15">
      <c r="B15" s="3" t="inlineStr"/>
    </row>
    <row r="16">
      <c r="B16" s="3" t="inlineStr">
        <is>
          <t>'Days overdue' turns amber when a next action date has passed. 'Duplicate?' flags a website</t>
        </is>
      </c>
    </row>
    <row r="17">
      <c r="B17" s="3" t="inlineStr">
        <is>
          <t>already in the sheet. The next-action column turns amber if an active account has none.</t>
        </is>
      </c>
    </row>
    <row r="18">
      <c r="B18" s="3" t="inlineStr"/>
    </row>
    <row r="19">
      <c r="B19" s="4" t="inlineStr">
        <is>
          <t>Contact Tracker</t>
        </is>
      </c>
    </row>
    <row r="20">
      <c r="B20" s="3" t="inlineStr">
        <is>
          <t>One row per person. 'Signs off?' starts at Unknown and only becomes Confirmed when someone</t>
        </is>
      </c>
    </row>
    <row r="21">
      <c r="B21" s="3" t="inlineStr">
        <is>
          <t>tells you, or a published document says so. A job title is not proof.</t>
        </is>
      </c>
    </row>
    <row r="22">
      <c r="B22" s="3" t="inlineStr">
        <is>
          <t>Only business email addresses. A pattern guess is a research lead, not something to send to.</t>
        </is>
      </c>
    </row>
    <row r="23">
      <c r="B23" s="3" t="inlineStr">
        <is>
          <t>If someone opts out, set Opted out to Yes. That is permanent, and it covers phone too.</t>
        </is>
      </c>
    </row>
    <row r="24">
      <c r="B24" s="3" t="inlineStr"/>
    </row>
    <row r="25">
      <c r="B25" s="4" t="inlineStr">
        <is>
          <t>Trigger Tracker</t>
        </is>
      </c>
    </row>
    <row r="26">
      <c r="B26" s="3" t="inlineStr">
        <is>
          <t>This is the tab that makes the difference, and the one most people skip.</t>
        </is>
      </c>
    </row>
    <row r="27">
      <c r="B27" s="3" t="inlineStr">
        <is>
          <t>'What you observed' takes the exact fact, quoted. Not what you think it means.</t>
        </is>
      </c>
    </row>
    <row r="28">
      <c r="B28" s="3" t="inlineStr">
        <is>
          <t>Good: 'Listing address changed to 5910 N MacArthur Blvd.'</t>
        </is>
      </c>
    </row>
    <row r="29">
      <c r="B29" s="3" t="inlineStr">
        <is>
          <t>Not: 'They moved so they need a cleaner.'</t>
        </is>
      </c>
    </row>
    <row r="30">
      <c r="B30" s="3" t="inlineStr">
        <is>
          <t>No source or no date means the score is 0, whatever the trigger type says. That's deliberate.</t>
        </is>
      </c>
    </row>
    <row r="31">
      <c r="B31" s="3" t="inlineStr">
        <is>
          <t>'Still fresh?' compares age against the window. Expired triggers should not be worked.</t>
        </is>
      </c>
    </row>
    <row r="32">
      <c r="B32" s="3" t="inlineStr"/>
    </row>
    <row r="33">
      <c r="B33" s="4" t="inlineStr">
        <is>
          <t>Campaign Tracker</t>
        </is>
      </c>
    </row>
    <row r="34">
      <c r="B34" s="3" t="inlineStr">
        <is>
          <t>One row per batch. Keep batches to one segment and one trigger type so you can tell what worked.</t>
        </is>
      </c>
    </row>
    <row r="35">
      <c r="B35" s="3" t="inlineStr">
        <is>
          <t>A batch of 20 you can read is worth more than 500 you can't.</t>
        </is>
      </c>
    </row>
    <row r="36">
      <c r="B36" s="3" t="inlineStr"/>
    </row>
    <row r="37">
      <c r="B37" s="4" t="inlineStr">
        <is>
          <t>Follow-up Tracker</t>
        </is>
      </c>
    </row>
    <row r="38">
      <c r="B38" s="3" t="inlineStr">
        <is>
          <t>Log every touch. This is what stops an account going quiet and stops you sending a sixth email.</t>
        </is>
      </c>
    </row>
    <row r="39">
      <c r="B39" s="3" t="inlineStr">
        <is>
          <t>'Next touch due' drives the OVERDUE flag. Opt-outs and hard noes stop the sequence.</t>
        </is>
      </c>
    </row>
    <row r="40">
      <c r="B40" s="3" t="inlineStr"/>
    </row>
    <row r="41">
      <c r="B41" s="4" t="inlineStr">
        <is>
          <t>Pipeline</t>
        </is>
      </c>
    </row>
    <row r="42">
      <c r="B42" s="3" t="inlineStr">
        <is>
          <t>Read-only. The health checks on the right should all read zero, except opted-out contacts —</t>
        </is>
      </c>
    </row>
    <row r="43">
      <c r="B43" s="3" t="inlineStr">
        <is>
          <t>that number is a record you keep, not a problem to fix.</t>
        </is>
      </c>
    </row>
    <row r="44">
      <c r="B44" s="3" t="inlineStr"/>
    </row>
    <row r="45">
      <c r="B45" s="4" t="inlineStr">
        <is>
          <t>Weekly Metrics</t>
        </is>
      </c>
    </row>
    <row r="46">
      <c r="B46" s="3" t="inlineStr">
        <is>
          <t>Ten minutes every Friday. Compare each week to your own previous weeks, not to anything you read.</t>
        </is>
      </c>
    </row>
    <row r="47">
      <c r="B47" s="3" t="inlineStr">
        <is>
          <t>Under about ten events, you're reading noise. Give it four weeks.</t>
        </is>
      </c>
    </row>
    <row r="48">
      <c r="B48" s="3" t="inlineStr"/>
    </row>
    <row r="49">
      <c r="B49" s="4" t="inlineStr">
        <is>
          <t>If you only follow one rule</t>
        </is>
      </c>
    </row>
    <row r="50">
      <c r="B50" s="3" t="inlineStr">
        <is>
          <t>Every account you're actively working has an owner, a next action, and a date.</t>
        </is>
      </c>
    </row>
    <row r="51">
      <c r="B51" s="3" t="inlineStr">
        <is>
          <t>Everything else in this workbook exists to support that one habit.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2026-09-11T04:07:53Z</dcterms:created>
  <dcterms:modified xsi:type="dcterms:W3CDTF">2026-09-11T04:07:54Z</dcterms:modified>
</cp:coreProperties>
</file>